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wmz" ContentType="image/x-wmz"/>
  <Default Extension="jpeg" ContentType="image/jpeg"/>
  <Default Extension="png" ContentType="image/png"/>
  <Default Extension="gif" ContentType="image/gif"/>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ГЛАВЛЕНИЕ" sheetId="2" r:id="rId4"/>
    <sheet name="Упаковка, салфетки" sheetId="3" r:id="rId6"/>
    <sheet name="G-Rhino 6D" sheetId="4" r:id="rId7"/>
    <sheet name="G-Rhino HD Ultra" sheetId="5" r:id="rId8"/>
    <sheet name="G-Rhino Антишпион" sheetId="6" r:id="rId9"/>
    <sheet name="G-Rhino Антишпион 360" sheetId="7" r:id="rId10"/>
    <sheet name="G-Rhino на часы" sheetId="8" r:id="rId11"/>
    <sheet name="G-Rhino прозрачные стекла для п" sheetId="9" r:id="rId12"/>
    <sheet name="Veason" sheetId="10" r:id="rId13"/>
  </sheets>
  <calcPr calcId="122211"/>
</workbook>
</file>

<file path=xl/sharedStrings.xml><?xml version="1.0" encoding="utf-8"?>
<sst xmlns="http://schemas.openxmlformats.org/spreadsheetml/2006/main" count="1532" uniqueCount="1532">
  <si>
    <t>Сформирован:</t>
  </si>
  <si>
    <t>19 декабря 2025 г.</t>
  </si>
  <si>
    <t>Организация:</t>
  </si>
  <si>
    <t>rh Store</t>
  </si>
  <si>
    <t>Адрес:</t>
  </si>
  <si>
    <t>г. Москва, ул 4-я Магистральная, д. 5, стр. 5</t>
  </si>
  <si>
    <t>Телефон:</t>
  </si>
  <si>
    <t>8 915 150 77 99</t>
  </si>
  <si>
    <t>Сайт:</t>
  </si>
  <si>
    <t>стекла.рф</t>
  </si>
  <si>
    <t>E-mail:</t>
  </si>
  <si>
    <t>order@rhstore.net</t>
  </si>
  <si>
    <t>Сумма заказа</t>
  </si>
  <si>
    <t>Разделы:</t>
  </si>
  <si>
    <t>1. Упаковка, салфетки</t>
  </si>
  <si>
    <t>2. G-Rhino 6D</t>
  </si>
  <si>
    <t>3. G-Rhino HD Ultra</t>
  </si>
  <si>
    <t>4. G-Rhino Антишпион</t>
  </si>
  <si>
    <t>5. G-Rhino Антишпион 360</t>
  </si>
  <si>
    <t>6. G-Rhino на часы</t>
  </si>
  <si>
    <t>7. G-Rhino прозрачные стекла для п</t>
  </si>
  <si>
    <t>8. Veason</t>
  </si>
  <si>
    <t>Код</t>
  </si>
  <si>
    <t>Наименование</t>
  </si>
  <si>
    <t>Совместимость</t>
  </si>
  <si>
    <t>от 45 тыс. руб.</t>
  </si>
  <si>
    <t>от 15 тыс. руб.</t>
  </si>
  <si>
    <t>от 10 тыс. руб.</t>
  </si>
  <si>
    <t>Заказ</t>
  </si>
  <si>
    <t>Сумма_</t>
  </si>
  <si>
    <t>Сумма</t>
  </si>
  <si>
    <t>Ваш комментарий</t>
  </si>
  <si>
    <t>ТН_Номенклатура</t>
  </si>
  <si>
    <t>ТН_Характеристика</t>
  </si>
  <si>
    <t>Итог</t>
  </si>
  <si>
    <t>вернуться к оглавлению</t>
  </si>
  <si>
    <t>00-00001998</t>
  </si>
  <si>
    <t>Комплект поклейки OEM (в пачке 300 шт)</t>
  </si>
  <si>
    <t/>
  </si>
  <si>
    <t>{"#",190a7469-3325-4d33-b5ec-28a63ac83b06,283:9a6400155deafe7b11f0c92732267f68}</t>
  </si>
  <si>
    <t>00-00000697</t>
  </si>
  <si>
    <t>Салфетки для протирки экрана (в пачке 250 шт)</t>
  </si>
  <si>
    <t>{"#",190a7469-3325-4d33-b5ec-28a63ac83b06,283:84f100155d46f6e511f09d4f48bb905a}</t>
  </si>
  <si>
    <t>00-00001778</t>
  </si>
  <si>
    <t>Упаковка G-Rhino для планшетов 8'</t>
  </si>
  <si>
    <t>{"#",190a7469-3325-4d33-b5ec-28a63ac83b06,283:84f100155d46f6e511f09d4fc820a7ea}</t>
  </si>
  <si>
    <t>00-00001779</t>
  </si>
  <si>
    <t>Упаковка для кабелей</t>
  </si>
  <si>
    <t>{"#",190a7469-3325-4d33-b5ec-28a63ac83b06,283:84f100155d46f6e511f09d4fc83aa50a}</t>
  </si>
  <si>
    <t>00-00001999</t>
  </si>
  <si>
    <t>Упаковка для стекол OEM (коробка)</t>
  </si>
  <si>
    <t>{"#",190a7469-3325-4d33-b5ec-28a63ac83b06,283:9a6400155deafe7b11f0c927a2bcaec8}</t>
  </si>
  <si>
    <t>00-00001782</t>
  </si>
  <si>
    <t>Фирменная упаковка G-Rhino Антишпион</t>
  </si>
  <si>
    <t>{"#",190a7469-3325-4d33-b5ec-28a63ac83b06,283:84f100155d46f6e511f09d4fc88fed44}</t>
  </si>
  <si>
    <t>G-Rhino 6D в техпаке</t>
  </si>
  <si>
    <t>00-00000933</t>
  </si>
  <si>
    <t>Стекло G-Rhino 6D l CMF Phone 1 (330 glue)</t>
  </si>
  <si>
    <t>{"#",190a7469-3325-4d33-b5ec-28a63ac83b06,283:84f100155d46f6e511f09d4f67821d88}</t>
  </si>
  <si>
    <t>00-00000934</t>
  </si>
  <si>
    <t>Стекло G-Rhino 6D l Google Pixel 6</t>
  </si>
  <si>
    <t>{"#",190a7469-3325-4d33-b5ec-28a63ac83b06,283:84f100155d46f6e511f09d4f67ac977a}</t>
  </si>
  <si>
    <t>00-00000935</t>
  </si>
  <si>
    <t>Стекло G-Rhino 6D l Google Pixel 6a / Pixel 7a</t>
  </si>
  <si>
    <t>{"#",190a7469-3325-4d33-b5ec-28a63ac83b06,283:84f100155d46f6e511f09d4f67d6de18}</t>
  </si>
  <si>
    <t>00-00000936</t>
  </si>
  <si>
    <t>Стекло G-Rhino 6D l Google Pixel 7</t>
  </si>
  <si>
    <t>{"#",190a7469-3325-4d33-b5ec-28a63ac83b06,283:84f100155d46f6e511f09d4f68039520}</t>
  </si>
  <si>
    <t>00-00000938</t>
  </si>
  <si>
    <t>Стекло G-Rhino 6D l Google Pixel 8 (330 glue)</t>
  </si>
  <si>
    <t>{"#",190a7469-3325-4d33-b5ec-28a63ac83b06,283:84f100155d46f6e511f09d4f685b7f88}</t>
  </si>
  <si>
    <t>00-00000939</t>
  </si>
  <si>
    <t>Стекло G-Rhino 6D l Google Pixel 8 Pro (330 glue)</t>
  </si>
  <si>
    <t>{"#",190a7469-3325-4d33-b5ec-28a63ac83b06,283:84f100155d46f6e511f09d4f68878060}</t>
  </si>
  <si>
    <t>00-00000940</t>
  </si>
  <si>
    <t>Стекло G-Rhino 6D l Google Pixel 8a (330 glue)</t>
  </si>
  <si>
    <t>{"#",190a7469-3325-4d33-b5ec-28a63ac83b06,283:84f100155d46f6e511f09d4f68a4fa5a}</t>
  </si>
  <si>
    <t>00-00000941</t>
  </si>
  <si>
    <t>Стекло G-Rhino 6D l Google Pixel 9 / 9 Pro</t>
  </si>
  <si>
    <t>{"#",190a7469-3325-4d33-b5ec-28a63ac83b06,283:84f100155d46f6e511f09d4f68c491c6}</t>
  </si>
  <si>
    <t>00-00000942</t>
  </si>
  <si>
    <t>Стекло G-Rhino 6D l Google Pixel 9 Pro XL</t>
  </si>
  <si>
    <t>{"#",190a7469-3325-4d33-b5ec-28a63ac83b06,283:84f100155d46f6e511f09d4f68ecdbfe}</t>
  </si>
  <si>
    <t>00-00000943</t>
  </si>
  <si>
    <t>Стекло G-Rhino 6D l Google Pixel 9a (330 glue)</t>
  </si>
  <si>
    <t>{"#",190a7469-3325-4d33-b5ec-28a63ac83b06,283:84f100155d46f6e511f09d4f691a2a28}</t>
  </si>
  <si>
    <t>00-00000944</t>
  </si>
  <si>
    <t>Стекло G-Rhino 6D l Honor 10</t>
  </si>
  <si>
    <t>{"#",190a7469-3325-4d33-b5ec-28a63ac83b06,283:84f100155d46f6e511f09d4f6942fffc}</t>
  </si>
  <si>
    <t>00-00000945</t>
  </si>
  <si>
    <t>Стекло G-Rhino 6D l Honor 10 Lite / 20e / 10i / 20i / Huawei P Smart 2019 / P Smart 2020</t>
  </si>
  <si>
    <t>{"#",190a7469-3325-4d33-b5ec-28a63ac83b06,283:84f100155d46f6e511f09d4f6971f186}</t>
  </si>
  <si>
    <t>00-00000948</t>
  </si>
  <si>
    <t>Стекло G-Rhino 6D l Honor 30</t>
  </si>
  <si>
    <t>{"#",190a7469-3325-4d33-b5ec-28a63ac83b06,283:84f100155d46f6e511f09d4f69da8d86}</t>
  </si>
  <si>
    <t>00-00000949</t>
  </si>
  <si>
    <t>Стекло G-Rhino 6D l Honor 30i / Y8p</t>
  </si>
  <si>
    <t>{"#",190a7469-3325-4d33-b5ec-28a63ac83b06,283:84f100155d46f6e511f09d4f6a0164b0}</t>
  </si>
  <si>
    <t>00-00000950</t>
  </si>
  <si>
    <t>Стекло G-Rhino 6D l Honor 50 Lite / Huawei Nova 8i</t>
  </si>
  <si>
    <t>{"#",190a7469-3325-4d33-b5ec-28a63ac83b06,283:84f100155d46f6e511f09d4f6a255f3c}</t>
  </si>
  <si>
    <t>00-00000951</t>
  </si>
  <si>
    <t>Стекло G-Rhino 6D l Honor 7c 5.99' / Huawei Y7 Prime 2018</t>
  </si>
  <si>
    <t>{"#",190a7469-3325-4d33-b5ec-28a63ac83b06,283:84f100155d46f6e511f09d4f6a494d16}</t>
  </si>
  <si>
    <t>00-00000952</t>
  </si>
  <si>
    <t>Стекло G-Rhino 6D l Honor 8X / 9X Lite / Huawei Y9 2019</t>
  </si>
  <si>
    <t>{"#",190a7469-3325-4d33-b5ec-28a63ac83b06,283:84f100155d46f6e511f09d4f6a677ee4}</t>
  </si>
  <si>
    <t>00-00000953</t>
  </si>
  <si>
    <t>Стекло G-Rhino 6D l Honor 9a / Y6P</t>
  </si>
  <si>
    <t>{"#",190a7469-3325-4d33-b5ec-28a63ac83b06,283:84f100155d46f6e511f09d4f6a87f5d4}</t>
  </si>
  <si>
    <t>00-00000954</t>
  </si>
  <si>
    <t>Стекло G-Rhino 6D l Honor 9x / 9x Pro / P Smart Z / Y9s</t>
  </si>
  <si>
    <t>{"#",190a7469-3325-4d33-b5ec-28a63ac83b06,283:84f100155d46f6e511f09d4f6aab321a}</t>
  </si>
  <si>
    <t>00-00000955</t>
  </si>
  <si>
    <t>Стекло G-Rhino 6D l Honor X7 / X7a</t>
  </si>
  <si>
    <t>{"#",190a7469-3325-4d33-b5ec-28a63ac83b06,283:84f100155d46f6e511f09d4f6ac8e6b6}</t>
  </si>
  <si>
    <t>00-00000956</t>
  </si>
  <si>
    <t>Стекло G-Rhino 6D l Honor X7b</t>
  </si>
  <si>
    <t>{"#",190a7469-3325-4d33-b5ec-28a63ac83b06,283:84f100155d46f6e511f09d4f6ae3f3ac}</t>
  </si>
  <si>
    <t>00-00000957</t>
  </si>
  <si>
    <t>Стекло G-Rhino 6D l Honor X8</t>
  </si>
  <si>
    <t>{"#",190a7469-3325-4d33-b5ec-28a63ac83b06,283:84f100155d46f6e511f09d4f6afe8fb4}</t>
  </si>
  <si>
    <t>00-00000958</t>
  </si>
  <si>
    <t>Стекло G-Rhino 6D l Honor X8a</t>
  </si>
  <si>
    <t>{"#",190a7469-3325-4d33-b5ec-28a63ac83b06,283:84f100155d46f6e511f09d4f6b20c818}</t>
  </si>
  <si>
    <t>00-00000959</t>
  </si>
  <si>
    <t>Стекло G-Rhino 6D l Honor X8b / X8c</t>
  </si>
  <si>
    <t>{"#",190a7469-3325-4d33-b5ec-28a63ac83b06,283:84f100155d46f6e511f09d4f6b41c48c}</t>
  </si>
  <si>
    <t>00-00000960</t>
  </si>
  <si>
    <t>Стекло G-Rhino 6D l Honor X9</t>
  </si>
  <si>
    <t>{"#",190a7469-3325-4d33-b5ec-28a63ac83b06,283:84f100155d46f6e511f09d4f6b5da738}</t>
  </si>
  <si>
    <t>00-00000961</t>
  </si>
  <si>
    <t>Стекло G-Rhino 6D l Huawei Nova 10 SE</t>
  </si>
  <si>
    <t>{"#",190a7469-3325-4d33-b5ec-28a63ac83b06,283:84f100155d46f6e511f09d4f6b773fe0}</t>
  </si>
  <si>
    <t>00-00000962</t>
  </si>
  <si>
    <t>Стекло G-Rhino 6D l Huawei Nova 12 SE</t>
  </si>
  <si>
    <t>{"#",190a7469-3325-4d33-b5ec-28a63ac83b06,283:84f100155d46f6e511f09d4f6b937606}</t>
  </si>
  <si>
    <t>00-00000963</t>
  </si>
  <si>
    <t>Стекло G-Rhino 6D l Huawei Nova 12i / 13i</t>
  </si>
  <si>
    <t>{"#",190a7469-3325-4d33-b5ec-28a63ac83b06,283:84f100155d46f6e511f09d4f6bb2d622}</t>
  </si>
  <si>
    <t>00-00000964</t>
  </si>
  <si>
    <t>Стекло G-Rhino 6D l Huawei Nova 12s / Nova 13 / Nova 14</t>
  </si>
  <si>
    <t>{"#",190a7469-3325-4d33-b5ec-28a63ac83b06,283:84f100155d46f6e511f09d4f6bd71d8e}</t>
  </si>
  <si>
    <t>00-00000965</t>
  </si>
  <si>
    <t>Стекло G-Rhino 6D l Huawei Nova 9 SE</t>
  </si>
  <si>
    <t>{"#",190a7469-3325-4d33-b5ec-28a63ac83b06,283:84f100155d46f6e511f09d4f6bf7fb26}</t>
  </si>
  <si>
    <t>00-00000966</t>
  </si>
  <si>
    <t>Стекло G-Rhino 6D l Huawei Nova Y70 / Y71 / Y70 Plus</t>
  </si>
  <si>
    <t>{"#",190a7469-3325-4d33-b5ec-28a63ac83b06,283:84f100155d46f6e511f09d4f6c12dbbc}</t>
  </si>
  <si>
    <t>00-00000967</t>
  </si>
  <si>
    <t>Стекло G-Rhino 6D l Huawei Nova Y72 (330 glue)</t>
  </si>
  <si>
    <t>{"#",190a7469-3325-4d33-b5ec-28a63ac83b06,283:84f100155d46f6e511f09d4f6c2e1012}</t>
  </si>
  <si>
    <t>00-00000968</t>
  </si>
  <si>
    <t>Стекло G-Rhino 6D l Huawei Nova Y90</t>
  </si>
  <si>
    <t>{"#",190a7469-3325-4d33-b5ec-28a63ac83b06,283:84f100155d46f6e511f09d4f6c505244}</t>
  </si>
  <si>
    <t>00-00000969</t>
  </si>
  <si>
    <t>Стекло G-Rhino 6D l Huawei Nova Y91</t>
  </si>
  <si>
    <t>{"#",190a7469-3325-4d33-b5ec-28a63ac83b06,283:84f100155d46f6e511f09d4f6c716bbe}</t>
  </si>
  <si>
    <t>00-00000971</t>
  </si>
  <si>
    <t>Стекло G-Rhino 6D l Huawei P30</t>
  </si>
  <si>
    <t>{"#",190a7469-3325-4d33-b5ec-28a63ac83b06,283:84f100155d46f6e511f09d4f6cb20728}</t>
  </si>
  <si>
    <t>00-00000972</t>
  </si>
  <si>
    <t>Стекло G-Rhino 6D l Huawei P30 Lite / Honor 20 Lite / 20s / Nova 4e</t>
  </si>
  <si>
    <t>{"#",190a7469-3325-4d33-b5ec-28a63ac83b06,283:84f100155d46f6e511f09d4f6ccf835c}</t>
  </si>
  <si>
    <t>00-00000973</t>
  </si>
  <si>
    <t>Стекло G-Rhino 6D l Huawei P40</t>
  </si>
  <si>
    <t>{"#",190a7469-3325-4d33-b5ec-28a63ac83b06,283:84f100155d46f6e511f09d4f6cee8644}</t>
  </si>
  <si>
    <t>00-00000974</t>
  </si>
  <si>
    <t>Стекло G-Rhino 6D l Huawei P40 Lite / Honor 9c / Y7p</t>
  </si>
  <si>
    <t>{"#",190a7469-3325-4d33-b5ec-28a63ac83b06,283:84f100155d46f6e511f09d4f6d1dc080}</t>
  </si>
  <si>
    <t>00-00000975</t>
  </si>
  <si>
    <t>Стекло G-Rhino 6D l Huawei Pura 70</t>
  </si>
  <si>
    <t>{"#",190a7469-3325-4d33-b5ec-28a63ac83b06,283:84f100155d46f6e511f09d4f6d3c3fc4}</t>
  </si>
  <si>
    <t>00-00000976</t>
  </si>
  <si>
    <t>Стекло G-Rhino 6D l Huawei Y6 2019 / Honor 8a</t>
  </si>
  <si>
    <t>{"#",190a7469-3325-4d33-b5ec-28a63ac83b06,283:84f100155d46f6e511f09d4f6d63a2bc}</t>
  </si>
  <si>
    <t>00-00000978</t>
  </si>
  <si>
    <t>Стекло G-Rhino 6D l Infinix Hot 10 Play / Hot 11 Play / Hot 10S</t>
  </si>
  <si>
    <t>{"#",190a7469-3325-4d33-b5ec-28a63ac83b06,283:84f100155d46f6e511f09d4f6da175ce}</t>
  </si>
  <si>
    <t>00-00000979</t>
  </si>
  <si>
    <t>Стекло G-Rhino 6D l Infinix Hot 20 / Hot 12 Play / Hot 20 Play / Hot 30 Play</t>
  </si>
  <si>
    <t>{"#",190a7469-3325-4d33-b5ec-28a63ac83b06,283:84f100155d46f6e511f09d4f6dbf74de}</t>
  </si>
  <si>
    <t>00-00000980</t>
  </si>
  <si>
    <t>Стекло G-Rhino 6D l Infinix Note 10 / Note 10 Pro / Note 11 Pro</t>
  </si>
  <si>
    <t>{"#",190a7469-3325-4d33-b5ec-28a63ac83b06,283:84f100155d46f6e511f09d4f6ddc4582}</t>
  </si>
  <si>
    <t>00-00000981</t>
  </si>
  <si>
    <t>Стекло G-Rhino 6D l Infinix Note 11 / Note 12 / Note 12 Pro / Zero 20</t>
  </si>
  <si>
    <t>{"#",190a7469-3325-4d33-b5ec-28a63ac83b06,283:84f100155d46f6e511f09d4f6df7d270}</t>
  </si>
  <si>
    <t>00-00000982</t>
  </si>
  <si>
    <t>Стекло G-Rhino 6D l Infinix Note 12 Vip</t>
  </si>
  <si>
    <t>{"#",190a7469-3325-4d33-b5ec-28a63ac83b06,283:84f100155d46f6e511f09d4f6e1a4a76}</t>
  </si>
  <si>
    <t>00-00000984</t>
  </si>
  <si>
    <t>Стекло G-Rhino 6D l Infinix Note 30 Pro / Note 30 VIP (330 glue)</t>
  </si>
  <si>
    <t>{"#",190a7469-3325-4d33-b5ec-28a63ac83b06,283:84f100155d46f6e511f09d4f6e5008a0}</t>
  </si>
  <si>
    <t>00-00000985</t>
  </si>
  <si>
    <t>Стекло G-Rhino 6D l Infinix Note 30i</t>
  </si>
  <si>
    <t>{"#",190a7469-3325-4d33-b5ec-28a63ac83b06,283:84f100155d46f6e511f09d4f6e690e72}</t>
  </si>
  <si>
    <t>00-00000986</t>
  </si>
  <si>
    <t>Стекло G-Rhino 6D l Infinix Smart 6 Plus</t>
  </si>
  <si>
    <t>{"#",190a7469-3325-4d33-b5ec-28a63ac83b06,283:84f100155d46f6e511f09d4f6e84f59c}</t>
  </si>
  <si>
    <t>00-00000987</t>
  </si>
  <si>
    <t>Стекло G-Rhino 6D l iPhone 12 / 12 Pro</t>
  </si>
  <si>
    <t>{"#",190a7469-3325-4d33-b5ec-28a63ac83b06,283:84f100155d46f6e511f09d4f6e9fa568}</t>
  </si>
  <si>
    <t>00-00000988</t>
  </si>
  <si>
    <t>Стекло G-Rhino 6D l iPhone 12 Mini</t>
  </si>
  <si>
    <t>{"#",190a7469-3325-4d33-b5ec-28a63ac83b06,283:84f100155d46f6e511f09d4f6eb9dbcc}</t>
  </si>
  <si>
    <t>00-00000989</t>
  </si>
  <si>
    <t>Стекло G-Rhino 6D l iPhone 12 Pro Max</t>
  </si>
  <si>
    <t>{"#",190a7469-3325-4d33-b5ec-28a63ac83b06,283:84f100155d46f6e511f09d4f6ed40b32}</t>
  </si>
  <si>
    <t>00-00000990</t>
  </si>
  <si>
    <t>Стекло G-Rhino 6D l iPhone 13 / 13 Pro / 14 / 16e</t>
  </si>
  <si>
    <t>{"#",190a7469-3325-4d33-b5ec-28a63ac83b06,283:84f100155d46f6e511f09d4f6eee4416}</t>
  </si>
  <si>
    <t>00-00000991</t>
  </si>
  <si>
    <t>Стекло G-Rhino 6D l iPhone 13 Mini</t>
  </si>
  <si>
    <t>{"#",190a7469-3325-4d33-b5ec-28a63ac83b06,283:84f100155d46f6e511f09d4f6f07f2e4}</t>
  </si>
  <si>
    <t>00-00000992</t>
  </si>
  <si>
    <t>Стекло G-Rhino 6D l iPhone 13 Pro Max / 14 Plus</t>
  </si>
  <si>
    <t>{"#",190a7469-3325-4d33-b5ec-28a63ac83b06,283:84f100155d46f6e511f09d4f6f22eb94}</t>
  </si>
  <si>
    <t>00-00000993</t>
  </si>
  <si>
    <t>Стекло G-Rhino 6D l iPhone 14 Pro</t>
  </si>
  <si>
    <t>{"#",190a7469-3325-4d33-b5ec-28a63ac83b06,283:84f100155d46f6e511f09d4f6f3f5f18}</t>
  </si>
  <si>
    <t>00-00000994</t>
  </si>
  <si>
    <t>Стекло G-Rhino 6D l iPhone 14 Pro Max</t>
  </si>
  <si>
    <t>{"#",190a7469-3325-4d33-b5ec-28a63ac83b06,283:84f100155d46f6e511f09d4f6f599f2c}</t>
  </si>
  <si>
    <t>00-00000995</t>
  </si>
  <si>
    <t>Стекло G-Rhino 6D l iPhone 15 (330 glue)</t>
  </si>
  <si>
    <t>{"#",190a7469-3325-4d33-b5ec-28a63ac83b06,283:84f100155d46f6e511f09d4f6f7585a2}</t>
  </si>
  <si>
    <t>00-00000996</t>
  </si>
  <si>
    <t>Стекло G-Rhino 6D l iPhone 15 Plus (330 glue)</t>
  </si>
  <si>
    <t>{"#",190a7469-3325-4d33-b5ec-28a63ac83b06,283:84f100155d46f6e511f09d4f6f914238}</t>
  </si>
  <si>
    <t>00-00000997</t>
  </si>
  <si>
    <t>Стекло G-Rhino 6D l iPhone 15 Pro (330 glue)</t>
  </si>
  <si>
    <t>{"#",190a7469-3325-4d33-b5ec-28a63ac83b06,283:84f100155d46f6e511f09d4f6fad7e1c}</t>
  </si>
  <si>
    <t>00-00000998</t>
  </si>
  <si>
    <t>Стекло G-Rhino 6D l iPhone 15 Pro Max (330 glue)</t>
  </si>
  <si>
    <t>{"#",190a7469-3325-4d33-b5ec-28a63ac83b06,283:84f100155d46f6e511f09d4f6fca5fd2}</t>
  </si>
  <si>
    <t>00-00000999</t>
  </si>
  <si>
    <t>Стекло G-Rhino 6D l iPhone 16 (380 glue)</t>
  </si>
  <si>
    <t>{"#",190a7469-3325-4d33-b5ec-28a63ac83b06,283:84f100155d46f6e511f09d4f6fe4dbc8}</t>
  </si>
  <si>
    <t>00-00001000</t>
  </si>
  <si>
    <t>Стекло G-Rhino 6D l iPhone 16 Plus (380 glue)</t>
  </si>
  <si>
    <t>{"#",190a7469-3325-4d33-b5ec-28a63ac83b06,283:84f100155d46f6e511f09d4f7000ac5e}</t>
  </si>
  <si>
    <t>00-00001001</t>
  </si>
  <si>
    <t>Стекло G-Rhino 6D l iPhone 16 Pro (380 glue)</t>
  </si>
  <si>
    <t>{"#",190a7469-3325-4d33-b5ec-28a63ac83b06,283:84f100155d46f6e511f09d4f701c580a}</t>
  </si>
  <si>
    <t>00-00001002</t>
  </si>
  <si>
    <t>Стекло G-Rhino 6D l iPhone 16 Pro Max (380 glue)</t>
  </si>
  <si>
    <t>{"#",190a7469-3325-4d33-b5ec-28a63ac83b06,283:84f100155d46f6e511f09d4f7037c428}</t>
  </si>
  <si>
    <t>00-00001870</t>
  </si>
  <si>
    <t>Стекло G-Rhino 6D l iPhone 17 (380 glue)</t>
  </si>
  <si>
    <t>{"#",190a7469-3325-4d33-b5ec-28a63ac83b06,283:8e7000155d46f85011f09f89f41afbf2}</t>
  </si>
  <si>
    <t>00-00001003</t>
  </si>
  <si>
    <t>Стекло G-Rhino 6D l iPhone 17 Air (380 glue)</t>
  </si>
  <si>
    <t>{"#",190a7469-3325-4d33-b5ec-28a63ac83b06,283:84f100155d46f6e511f09d4f7052769c}</t>
  </si>
  <si>
    <t>00-00001871</t>
  </si>
  <si>
    <t>Стекло G-Rhino 6D l iPhone 17 Pro (380 glue)</t>
  </si>
  <si>
    <t>{"#",190a7469-3325-4d33-b5ec-28a63ac83b06,283:8e7000155d46f85011f09f8a09a27acc}</t>
  </si>
  <si>
    <t>00-00001872</t>
  </si>
  <si>
    <t>Стекло G-Rhino 6D l iPhone 17 Pro Max (380 glue)</t>
  </si>
  <si>
    <t>{"#",190a7469-3325-4d33-b5ec-28a63ac83b06,283:8e7000155d46f85011f09f8a1b6d8f6c}</t>
  </si>
  <si>
    <t>00-00001004</t>
  </si>
  <si>
    <t>Стекло G-Rhino 6D l iPhone 6/6s (белая рамка)</t>
  </si>
  <si>
    <t>{"#",190a7469-3325-4d33-b5ec-28a63ac83b06,283:84f100155d46f6e511f09d4f706ca58a}</t>
  </si>
  <si>
    <t>00-00001007</t>
  </si>
  <si>
    <t>Стекло G-Rhino 6D l iPhone 6/6s/7/8 (черная рамка)</t>
  </si>
  <si>
    <t>{"#",190a7469-3325-4d33-b5ec-28a63ac83b06,283:84f100155d46f6e511f09d4f70bf1c20}</t>
  </si>
  <si>
    <t>00-00001008</t>
  </si>
  <si>
    <t>Стекло G-Rhino 6D l iPhone 7/8 (белая рамка)</t>
  </si>
  <si>
    <t>{"#",190a7469-3325-4d33-b5ec-28a63ac83b06,283:84f100155d46f6e511f09d4f70d9d524}</t>
  </si>
  <si>
    <t>00-00001010</t>
  </si>
  <si>
    <t>Стекло G-Rhino 6D l iPhone 7/8 Plus (белая рамка)</t>
  </si>
  <si>
    <t>{"#",190a7469-3325-4d33-b5ec-28a63ac83b06,283:84f100155d46f6e511f09d4f710e0970}</t>
  </si>
  <si>
    <t>00-00001011</t>
  </si>
  <si>
    <t>Стекло G-Rhino 6D l iPhone 7/8 Plus (черная рамка)</t>
  </si>
  <si>
    <t>{"#",190a7469-3325-4d33-b5ec-28a63ac83b06,283:84f100155d46f6e511f09d4f712a201a}</t>
  </si>
  <si>
    <t>00-00001012</t>
  </si>
  <si>
    <t>Стекло G-Rhino 6D l iPhone SE 2020 (330 glue)</t>
  </si>
  <si>
    <t>{"#",190a7469-3325-4d33-b5ec-28a63ac83b06,283:84f100155d46f6e511f09d4f7147b3e6}</t>
  </si>
  <si>
    <t>00-00001013</t>
  </si>
  <si>
    <t>Стекло G-Rhino 6D l iPhone Xr / 11</t>
  </si>
  <si>
    <t>{"#",190a7469-3325-4d33-b5ec-28a63ac83b06,283:84f100155d46f6e511f09d4f7161e19e}</t>
  </si>
  <si>
    <t>00-00001014</t>
  </si>
  <si>
    <t>Стекло G-Rhino 6D l iPhone Xs / 11 Pro</t>
  </si>
  <si>
    <t>{"#",190a7469-3325-4d33-b5ec-28a63ac83b06,283:84f100155d46f6e511f09d4f717cf876}</t>
  </si>
  <si>
    <t>00-00001015</t>
  </si>
  <si>
    <t>Стекло G-Rhino 6D l iPhone Xs Max / 11 Pro Max</t>
  </si>
  <si>
    <t>{"#",190a7469-3325-4d33-b5ec-28a63ac83b06,283:84f100155d46f6e511f09d4f71997410}</t>
  </si>
  <si>
    <t>00-00001016</t>
  </si>
  <si>
    <t>Стекло G-Rhino 6D l Nothing Phone 1 (330 glue)</t>
  </si>
  <si>
    <t>{"#",190a7469-3325-4d33-b5ec-28a63ac83b06,283:84f100155d46f6e511f09d4f71b50216}</t>
  </si>
  <si>
    <t>00-00001017</t>
  </si>
  <si>
    <t>Стекло G-Rhino 6D l Nothing Phone 2</t>
  </si>
  <si>
    <t>{"#",190a7469-3325-4d33-b5ec-28a63ac83b06,283:84f100155d46f6e511f09d4f71d403dc}</t>
  </si>
  <si>
    <t>00-00001019</t>
  </si>
  <si>
    <t>Стекло G-Rhino 6D l Nothing Phone 3a / 3a Pro / CMF Phone 2 Pro (330 glue)</t>
  </si>
  <si>
    <t>{"#",190a7469-3325-4d33-b5ec-28a63ac83b06,283:84f100155d46f6e511f09d4f720ea8b6}</t>
  </si>
  <si>
    <t>00-00001020</t>
  </si>
  <si>
    <t>Стекло G-Rhino 6D l OnePlus 10R / 10T / Ace</t>
  </si>
  <si>
    <t>{"#",190a7469-3325-4d33-b5ec-28a63ac83b06,283:84f100155d46f6e511f09d4f72363e9e}</t>
  </si>
  <si>
    <t>00-00001021</t>
  </si>
  <si>
    <t>Стекло G-Rhino 6D l OnePlus 3 / 3T</t>
  </si>
  <si>
    <t>{"#",190a7469-3325-4d33-b5ec-28a63ac83b06,283:84f100155d46f6e511f09d4f725abbb6}</t>
  </si>
  <si>
    <t>00-00001022</t>
  </si>
  <si>
    <t>Стекло G-Rhino 6D l OnePlus 5</t>
  </si>
  <si>
    <t>{"#",190a7469-3325-4d33-b5ec-28a63ac83b06,283:84f100155d46f6e511f09d4f7280623a}</t>
  </si>
  <si>
    <t>00-00001023</t>
  </si>
  <si>
    <t>Стекло G-Rhino 6D l OnePlus 5T</t>
  </si>
  <si>
    <t>{"#",190a7469-3325-4d33-b5ec-28a63ac83b06,283:84f100155d46f6e511f09d4f72b00bd4}</t>
  </si>
  <si>
    <t>00-00001024</t>
  </si>
  <si>
    <t>Стекло G-Rhino 6D l OnePlus 6</t>
  </si>
  <si>
    <t>{"#",190a7469-3325-4d33-b5ec-28a63ac83b06,283:84f100155d46f6e511f09d4f72d68fb6}</t>
  </si>
  <si>
    <t>00-00001025</t>
  </si>
  <si>
    <t>Стекло G-Rhino 6D l OnePlus 6T / 7</t>
  </si>
  <si>
    <t>{"#",190a7469-3325-4d33-b5ec-28a63ac83b06,283:84f100155d46f6e511f09d4f737ff81c}</t>
  </si>
  <si>
    <t>00-00001026</t>
  </si>
  <si>
    <t>Стекло G-Rhino 6D l OnePlus 7T</t>
  </si>
  <si>
    <t>{"#",190a7469-3325-4d33-b5ec-28a63ac83b06,283:84f100155d46f6e511f09d4f73a75b3c}</t>
  </si>
  <si>
    <t>00-00001027</t>
  </si>
  <si>
    <t>Стекло G-Rhino 6D l OnePlus 8T / 9</t>
  </si>
  <si>
    <t>{"#",190a7469-3325-4d33-b5ec-28a63ac83b06,283:84f100155d46f6e511f09d4f73cd1d18}</t>
  </si>
  <si>
    <t>00-00001028</t>
  </si>
  <si>
    <t>Стекло G-Rhino 6D l OnePlus 9R (330 glue)</t>
  </si>
  <si>
    <t>{"#",190a7469-3325-4d33-b5ec-28a63ac83b06,283:84f100155d46f6e511f09d4f73f26ce4}</t>
  </si>
  <si>
    <t>00-00001029</t>
  </si>
  <si>
    <t>Стекло G-Rhino 6D l OnePlus Nord</t>
  </si>
  <si>
    <t>{"#",190a7469-3325-4d33-b5ec-28a63ac83b06,283:84f100155d46f6e511f09d4f740ffade}</t>
  </si>
  <si>
    <t>00-00001031</t>
  </si>
  <si>
    <t>Стекло G-Rhino 6D l OnePlus Nord 3 / CE 3 (330 glue)</t>
  </si>
  <si>
    <t>{"#",190a7469-3325-4d33-b5ec-28a63ac83b06,283:84f100155d46f6e511f09d4f745231ba}</t>
  </si>
  <si>
    <t>00-00001032</t>
  </si>
  <si>
    <t>Стекло G-Rhino 6D l OnePlus Nord 4 (330 glue)</t>
  </si>
  <si>
    <t>{"#",190a7469-3325-4d33-b5ec-28a63ac83b06,283:84f100155d46f6e511f09d4f746d2952}</t>
  </si>
  <si>
    <t>00-00001035</t>
  </si>
  <si>
    <t>Стекло G-Rhino 6D l OPPO Reno 5</t>
  </si>
  <si>
    <t>{"#",190a7469-3325-4d33-b5ec-28a63ac83b06,283:84f100155d46f6e511f09d4f74c9c752}</t>
  </si>
  <si>
    <t>00-00001036</t>
  </si>
  <si>
    <t>Стекло G-Rhino 6D l Realme 10 Pro 5G</t>
  </si>
  <si>
    <t>{"#",190a7469-3325-4d33-b5ec-28a63ac83b06,283:84f100155d46f6e511f09d4f74e89d58}</t>
  </si>
  <si>
    <t>00-00001037</t>
  </si>
  <si>
    <t>Стекло G-Rhino 6D l Realme 12 4G / 12+ / 13 4G</t>
  </si>
  <si>
    <t>{"#",190a7469-3325-4d33-b5ec-28a63ac83b06,283:84f100155d46f6e511f09d4f750a7266}</t>
  </si>
  <si>
    <t>00-00001038</t>
  </si>
  <si>
    <t>Стекло G-Rhino 6D l Realme 12 5G / 13 5G</t>
  </si>
  <si>
    <t>{"#",190a7469-3325-4d33-b5ec-28a63ac83b06,283:84f100155d46f6e511f09d4f752c26b8}</t>
  </si>
  <si>
    <t>00-00001039</t>
  </si>
  <si>
    <t>Стекло G-Rhino 6D l Realme 5 / C3 / C11 / C12 / C15 / C20 / C21 / C25 / C25s / C30 / C31 / C33 / C35</t>
  </si>
  <si>
    <t>Realme 5</t>
  </si>
  <si>
    <t>{"#",190a7469-3325-4d33-b5ec-28a63ac83b06,283:84f100155d46f6e511f09d4f754a1164}</t>
  </si>
  <si>
    <t>00-00001040</t>
  </si>
  <si>
    <t>Стекло G-Rhino 6D l Realme 6 Pro</t>
  </si>
  <si>
    <t>{"#",190a7469-3325-4d33-b5ec-28a63ac83b06,283:84f100155d46f6e511f09d4f756958f8}</t>
  </si>
  <si>
    <t>00-00001041</t>
  </si>
  <si>
    <t>Стекло G-Rhino 6D l Realme 8 / 8 Pro / 9 / 9 Pro + / 10 / 11 4G / F19</t>
  </si>
  <si>
    <t>{"#",190a7469-3325-4d33-b5ec-28a63ac83b06,283:84f100155d46f6e511f09d4f7586a91c}</t>
  </si>
  <si>
    <t>00-00001042</t>
  </si>
  <si>
    <t>Стекло G-Rhino 6D l Realme 8i / 7i / OPPO A53/A54/A55</t>
  </si>
  <si>
    <t>{"#",190a7469-3325-4d33-b5ec-28a63ac83b06,283:84f100155d46f6e511f09d4f75a49d6e}</t>
  </si>
  <si>
    <t>00-00001043</t>
  </si>
  <si>
    <t>Стекло G-Rhino 6D l Realme 9 Pro / 9i</t>
  </si>
  <si>
    <t>{"#",190a7469-3325-4d33-b5ec-28a63ac83b06,283:84f100155d46f6e511f09d4f75c6cd80}</t>
  </si>
  <si>
    <t>00-00001044</t>
  </si>
  <si>
    <t>Стекло G-Rhino 6D l Realme C53 / C51 / Narzo N53</t>
  </si>
  <si>
    <t>{"#",190a7469-3325-4d33-b5ec-28a63ac83b06,283:84f100155d46f6e511f09d4f75e62a7c}</t>
  </si>
  <si>
    <t>00-00001046</t>
  </si>
  <si>
    <t>Стекло G-Rhino 6D l Realme C55 / C65 4G / C75 / Narzo N55 (330 glue)</t>
  </si>
  <si>
    <t>{"#",190a7469-3325-4d33-b5ec-28a63ac83b06,283:84f100155d46f6e511f09d4f761bf59e}</t>
  </si>
  <si>
    <t>00-00001047</t>
  </si>
  <si>
    <t>Стекло G-Rhino 6D l Realme C61 / C63</t>
  </si>
  <si>
    <t>{"#",190a7469-3325-4d33-b5ec-28a63ac83b06,283:84f100155d46f6e511f09d4f76350f7a}</t>
  </si>
  <si>
    <t>00-00001048</t>
  </si>
  <si>
    <t>Стекло G-Rhino 6D l Realme C67 5G / 11 5G / 11X / Narzo 60X</t>
  </si>
  <si>
    <t>{"#",190a7469-3325-4d33-b5ec-28a63ac83b06,283:84f100155d46f6e511f09d4f76513010}</t>
  </si>
  <si>
    <t>00-00001049</t>
  </si>
  <si>
    <t>Стекло G-Rhino 6D l Realme GT / OnePlus Nord 2 / Nord CE</t>
  </si>
  <si>
    <t>{"#",190a7469-3325-4d33-b5ec-28a63ac83b06,283:84f100155d46f6e511f09d4f766bebb2}</t>
  </si>
  <si>
    <t>00-00001050</t>
  </si>
  <si>
    <t>Стекло G-Rhino 6D l Realme GT Neo2 / Neo 3T / OnePlus 9RT (330 glue)</t>
  </si>
  <si>
    <t>{"#",190a7469-3325-4d33-b5ec-28a63ac83b06,283:84f100155d46f6e511f09d4f76874fa6}</t>
  </si>
  <si>
    <t>00-00001051</t>
  </si>
  <si>
    <t>Стекло G-Rhino 6D l Realme GT Neo3</t>
  </si>
  <si>
    <t>{"#",190a7469-3325-4d33-b5ec-28a63ac83b06,283:84f100155d46f6e511f09d4f76a1f07c}</t>
  </si>
  <si>
    <t>00-00001052</t>
  </si>
  <si>
    <t>Стекло G-Rhino 6D l Realme GT2 Pro</t>
  </si>
  <si>
    <t>{"#",190a7469-3325-4d33-b5ec-28a63ac83b06,283:84f100155d46f6e511f09d4f76bdadf8}</t>
  </si>
  <si>
    <t>00-00001053</t>
  </si>
  <si>
    <t>Стекло G-Rhino 6D l Realme GT5 / GT Neo 5 / GT Neo 5 SE</t>
  </si>
  <si>
    <t>{"#",190a7469-3325-4d33-b5ec-28a63ac83b06,283:84f100155d46f6e511f09d4f76d8609e}</t>
  </si>
  <si>
    <t>00-00001054</t>
  </si>
  <si>
    <t>Стекло G-Rhino 6D l Samsung A01 Core</t>
  </si>
  <si>
    <t>{"#",190a7469-3325-4d33-b5ec-28a63ac83b06,283:84f100155d46f6e511f09d4f76f36d76}</t>
  </si>
  <si>
    <t>00-00001055</t>
  </si>
  <si>
    <t>Стекло G-Rhino 6D l Samsung A05</t>
  </si>
  <si>
    <t>{"#",190a7469-3325-4d33-b5ec-28a63ac83b06,283:84f100155d46f6e511f09d4f770e0cbc}</t>
  </si>
  <si>
    <t>00-00001056</t>
  </si>
  <si>
    <t>Стекло G-Rhino 6D l Samsung A05s</t>
  </si>
  <si>
    <t>{"#",190a7469-3325-4d33-b5ec-28a63ac83b06,283:84f100155d46f6e511f09d4f772a5e1c}</t>
  </si>
  <si>
    <t>00-00001058</t>
  </si>
  <si>
    <t>Стекло G-Rhino 6D l Samsung A12 / M12 / A32 5G</t>
  </si>
  <si>
    <t>{"#",190a7469-3325-4d33-b5ec-28a63ac83b06,283:84f100155d46f6e511f09d4f776e8a88}</t>
  </si>
  <si>
    <t>00-00001059</t>
  </si>
  <si>
    <t>Стекло G-Rhino 6D l Samsung A13 4G / A23</t>
  </si>
  <si>
    <t>{"#",190a7469-3325-4d33-b5ec-28a63ac83b06,283:84f100155d46f6e511f09d4f77894fda}</t>
  </si>
  <si>
    <t>00-00001060</t>
  </si>
  <si>
    <t>Стекло G-Rhino 6D l Samsung A14</t>
  </si>
  <si>
    <t>{"#",190a7469-3325-4d33-b5ec-28a63ac83b06,283:84f100155d46f6e511f09d4f77a5c534}</t>
  </si>
  <si>
    <t>00-00001061</t>
  </si>
  <si>
    <t>Стекло G-Rhino 6D l Samsung A15</t>
  </si>
  <si>
    <t>{"#",190a7469-3325-4d33-b5ec-28a63ac83b06,283:84f100155d46f6e511f09d4f77c2f0c8}</t>
  </si>
  <si>
    <t>00-00001062</t>
  </si>
  <si>
    <t>Стекло G-Rhino 6D l Samsung A16 / A17 / A26 / M16</t>
  </si>
  <si>
    <t>{"#",190a7469-3325-4d33-b5ec-28a63ac83b06,283:84f100155d46f6e511f09d4f77dd7682}</t>
  </si>
  <si>
    <t>00-00001063</t>
  </si>
  <si>
    <t>Стекло G-Rhino 6D l Samsung A20 / M10s</t>
  </si>
  <si>
    <t>{"#",190a7469-3325-4d33-b5ec-28a63ac83b06,283:84f100155d46f6e511f09d4f77f7d9aa}</t>
  </si>
  <si>
    <t>00-00001064</t>
  </si>
  <si>
    <t>Стекло G-Rhino 6D l Samsung A21 / A21s</t>
  </si>
  <si>
    <t>{"#",190a7469-3325-4d33-b5ec-28a63ac83b06,283:84f100155d46f6e511f09d4f781376f6}</t>
  </si>
  <si>
    <t>00-00001065</t>
  </si>
  <si>
    <t>Стекло G-Rhino 6D l Samsung A22s / A22 5G</t>
  </si>
  <si>
    <t>{"#",190a7469-3325-4d33-b5ec-28a63ac83b06,283:84f100155d46f6e511f09d4f783293d8}</t>
  </si>
  <si>
    <t>00-00001067</t>
  </si>
  <si>
    <t>Стекло G-Rhino 6D l Samsung A30 / A30s / A50 / A50s / A40s / M21 / M31 / M30 / M30s</t>
  </si>
  <si>
    <t>{"#",190a7469-3325-4d33-b5ec-28a63ac83b06,283:84f100155d46f6e511f09d4f78771fd0}</t>
  </si>
  <si>
    <t>00-00001068</t>
  </si>
  <si>
    <t>Стекло G-Rhino 6D l Samsung A31 / A32 / A22 / M32</t>
  </si>
  <si>
    <t>{"#",190a7469-3325-4d33-b5ec-28a63ac83b06,283:84f100155d46f6e511f09d4f7890c052}</t>
  </si>
  <si>
    <t>00-00001069</t>
  </si>
  <si>
    <t>Стекло G-Rhino 6D l Samsung A33</t>
  </si>
  <si>
    <t>{"#",190a7469-3325-4d33-b5ec-28a63ac83b06,283:84f100155d46f6e511f09d4f78abcdac}</t>
  </si>
  <si>
    <t>00-00001070</t>
  </si>
  <si>
    <t>Стекло G-Rhino 6D l Samsung A34</t>
  </si>
  <si>
    <t>{"#",190a7469-3325-4d33-b5ec-28a63ac83b06,283:84f100155d46f6e511f09d4f78c6b64e}</t>
  </si>
  <si>
    <t>00-00001071</t>
  </si>
  <si>
    <t>Стекло G-Rhino 6D l Samsung A35 / A55</t>
  </si>
  <si>
    <t>{"#",190a7469-3325-4d33-b5ec-28a63ac83b06,283:84f100155d46f6e511f09d4f78e1ce02}</t>
  </si>
  <si>
    <t>00-00001072</t>
  </si>
  <si>
    <t>Стекло G-Rhino 6D l Samsung A36 / A56 / S24 FE</t>
  </si>
  <si>
    <t>{"#",190a7469-3325-4d33-b5ec-28a63ac83b06,283:84f100155d46f6e511f09d4f78fdbac2}</t>
  </si>
  <si>
    <t>00-00001073</t>
  </si>
  <si>
    <t>Стекло G-Rhino 6D l Samsung A41</t>
  </si>
  <si>
    <t>{"#",190a7469-3325-4d33-b5ec-28a63ac83b06,283:84f100155d46f6e511f09d4f79179f32}</t>
  </si>
  <si>
    <t>00-00001074</t>
  </si>
  <si>
    <t>Стекло G-Rhino 6D l Samsung A51 / M31s</t>
  </si>
  <si>
    <t>{"#",190a7469-3325-4d33-b5ec-28a63ac83b06,283:84f100155d46f6e511f09d4f79346022}</t>
  </si>
  <si>
    <t>00-00001075</t>
  </si>
  <si>
    <t>Стекло G-Rhino 6D l Samsung A52</t>
  </si>
  <si>
    <t>{"#",190a7469-3325-4d33-b5ec-28a63ac83b06,283:84f100155d46f6e511f09d4f794fcd4e}</t>
  </si>
  <si>
    <t>00-00001076</t>
  </si>
  <si>
    <t>Стекло G-Rhino 6D l Samsung A53</t>
  </si>
  <si>
    <t>{"#",190a7469-3325-4d33-b5ec-28a63ac83b06,283:84f100155d46f6e511f09d4f796b076c}</t>
  </si>
  <si>
    <t>00-00001077</t>
  </si>
  <si>
    <t>Стекло G-Rhino 6D l Samsung A54 / S23 FE</t>
  </si>
  <si>
    <t>{"#",190a7469-3325-4d33-b5ec-28a63ac83b06,283:84f100155d46f6e511f09d4f7987b808}</t>
  </si>
  <si>
    <t>00-00001081</t>
  </si>
  <si>
    <t>Стекло G-Rhino 6D l Samsung A7 2018</t>
  </si>
  <si>
    <t>{"#",190a7469-3325-4d33-b5ec-28a63ac83b06,283:84f100155d46f6e511f09d4f79f7cc38}</t>
  </si>
  <si>
    <t>00-00001082</t>
  </si>
  <si>
    <t>Стекло G-Rhino 6D l Samsung A70 / A70s</t>
  </si>
  <si>
    <t>{"#",190a7469-3325-4d33-b5ec-28a63ac83b06,283:84f100155d46f6e511f09d4f7a12fb8e}</t>
  </si>
  <si>
    <t>00-00001083</t>
  </si>
  <si>
    <t>Стекло G-Rhino 6D l Samsung A71 / A81</t>
  </si>
  <si>
    <t>{"#",190a7469-3325-4d33-b5ec-28a63ac83b06,283:84f100155d46f6e511f09d4f7a2d2748}</t>
  </si>
  <si>
    <t>00-00001084</t>
  </si>
  <si>
    <t>Стекло G-Rhino 6D l Samsung A72</t>
  </si>
  <si>
    <t>{"#",190a7469-3325-4d33-b5ec-28a63ac83b06,283:84f100155d46f6e511f09d4f7a46a484}</t>
  </si>
  <si>
    <t>00-00001085</t>
  </si>
  <si>
    <t>Стекло G-Rhino 6D l Samsung A73</t>
  </si>
  <si>
    <t>{"#",190a7469-3325-4d33-b5ec-28a63ac83b06,283:84f100155d46f6e511f09d4f7a5fd4e0}</t>
  </si>
  <si>
    <t>00-00001087</t>
  </si>
  <si>
    <t>Стекло G-Rhino 6D l Samsung A8+ (2018)</t>
  </si>
  <si>
    <t>{"#",190a7469-3325-4d33-b5ec-28a63ac83b06,283:84f100155d46f6e511f09d4f7aa04a7a}</t>
  </si>
  <si>
    <t>00-00001088</t>
  </si>
  <si>
    <t>Стекло G-Rhino 6D l Samsung J4+ / J6+ / J8 2018</t>
  </si>
  <si>
    <t>{"#",190a7469-3325-4d33-b5ec-28a63ac83b06,283:84f100155d46f6e511f09d4f7abcd2a8}</t>
  </si>
  <si>
    <t>00-00001089</t>
  </si>
  <si>
    <t>Стекло G-Rhino 6D l Samsung M51 / M52 / M53 / M54 / M62 / F62</t>
  </si>
  <si>
    <t>{"#",190a7469-3325-4d33-b5ec-28a63ac83b06,283:84f100155d46f6e511f09d4f7ade18c8}</t>
  </si>
  <si>
    <t>00-00001090</t>
  </si>
  <si>
    <t>Стекло G-Rhino 6D l Samsung S10 Lite</t>
  </si>
  <si>
    <t>{"#",190a7469-3325-4d33-b5ec-28a63ac83b06,283:84f100155d46f6e511f09d4f7af84bd0}</t>
  </si>
  <si>
    <t>00-00001092</t>
  </si>
  <si>
    <t>Стекло G-Rhino 6D l Samsung S20 FE</t>
  </si>
  <si>
    <t>{"#",190a7469-3325-4d33-b5ec-28a63ac83b06,283:84f100155d46f6e511f09d4f7b303964}</t>
  </si>
  <si>
    <t>00-00001093</t>
  </si>
  <si>
    <t>Стекло G-Rhino 6D l Samsung S21 FE</t>
  </si>
  <si>
    <t>{"#",190a7469-3325-4d33-b5ec-28a63ac83b06,283:84f100155d46f6e511f09d4f7b4afc2c}</t>
  </si>
  <si>
    <t>00-00001094</t>
  </si>
  <si>
    <t>Стекло G-Rhino 6D l Samsung S22 / S23</t>
  </si>
  <si>
    <t>{"#",190a7469-3325-4d33-b5ec-28a63ac83b06,283:84f100155d46f6e511f09d4f7b657e9e}</t>
  </si>
  <si>
    <t>00-00001095</t>
  </si>
  <si>
    <t>Стекло G-Rhino 6D l Samsung S22+ / S23+</t>
  </si>
  <si>
    <t>{"#",190a7469-3325-4d33-b5ec-28a63ac83b06,283:84f100155d46f6e511f09d4f7b8001b0}</t>
  </si>
  <si>
    <t>00-00001097</t>
  </si>
  <si>
    <t>Стекло G-Rhino 6D l Samsung S24</t>
  </si>
  <si>
    <t>{"#",190a7469-3325-4d33-b5ec-28a63ac83b06,283:84f100155d46f6e511f09d4f7bb44b50}</t>
  </si>
  <si>
    <t>00-00001098</t>
  </si>
  <si>
    <t>Стекло G-Rhino 6D l Samsung S24 Ultra</t>
  </si>
  <si>
    <t>{"#",190a7469-3325-4d33-b5ec-28a63ac83b06,283:84f100155d46f6e511f09d4f7bce92d0}</t>
  </si>
  <si>
    <t>00-00001099</t>
  </si>
  <si>
    <t>Стекло G-Rhino 6D l Samsung S24+</t>
  </si>
  <si>
    <t>{"#",190a7469-3325-4d33-b5ec-28a63ac83b06,283:84f100155d46f6e511f09d4f7be8eed2}</t>
  </si>
  <si>
    <t>00-00001100</t>
  </si>
  <si>
    <t>Стекло G-Rhino 6D l Samsung S25</t>
  </si>
  <si>
    <t>{"#",190a7469-3325-4d33-b5ec-28a63ac83b06,283:84f100155d46f6e511f09d4f7c02d7b6}</t>
  </si>
  <si>
    <t>00-00001912</t>
  </si>
  <si>
    <t>Стекло G-Rhino 6D l Samsung S25 FE</t>
  </si>
  <si>
    <t>{"#",190a7469-3325-4d33-b5ec-28a63ac83b06,283:980400155d46f66f11f0a2b8e5a9ebdc}</t>
  </si>
  <si>
    <t>00-00001101</t>
  </si>
  <si>
    <t>Стекло G-Rhino 6D l Samsung S25 Ultra</t>
  </si>
  <si>
    <t>{"#",190a7469-3325-4d33-b5ec-28a63ac83b06,283:84f100155d46f6e511f09d4f7c1c2c66}</t>
  </si>
  <si>
    <t>00-00001102</t>
  </si>
  <si>
    <t>Стекло G-Rhino 6D l Samsung S25+</t>
  </si>
  <si>
    <t>{"#",190a7469-3325-4d33-b5ec-28a63ac83b06,283:84f100155d46f6e511f09d4f7c35e3d6}</t>
  </si>
  <si>
    <t>00-00001104</t>
  </si>
  <si>
    <t>Стекло G-Rhino 6D l Tecno Camon 20 / 20 Pro</t>
  </si>
  <si>
    <t>{"#",190a7469-3325-4d33-b5ec-28a63ac83b06,283:84f100155d46f6e511f09d4f7c6cea98}</t>
  </si>
  <si>
    <t>00-00001107</t>
  </si>
  <si>
    <t>Стекло G-Rhino 6D l Tecno Pova 4 / Pova Neo 2 / Pova Neo 3</t>
  </si>
  <si>
    <t>{"#",190a7469-3325-4d33-b5ec-28a63ac83b06,283:84f100155d46f6e511f09d4f7cbdde94}</t>
  </si>
  <si>
    <t>00-00001108</t>
  </si>
  <si>
    <t>Стекло G-Rhino 6D l Tecno Pova 4 Pro</t>
  </si>
  <si>
    <t>{"#",190a7469-3325-4d33-b5ec-28a63ac83b06,283:84f100155d46f6e511f09d4f7cd9c9f6}</t>
  </si>
  <si>
    <t>00-00001110</t>
  </si>
  <si>
    <t>Стекло G-Rhino 6D l Tecno Pova 5 / Pova 5 Pro / Spark 20 Pro (330 glue)</t>
  </si>
  <si>
    <t>{"#",190a7469-3325-4d33-b5ec-28a63ac83b06,283:84f100155d46f6e511f09d4f7d0f180e}</t>
  </si>
  <si>
    <t>00-00001111</t>
  </si>
  <si>
    <t>Стекло G-Rhino 6D l Tecno Pova 6 (330 glue)</t>
  </si>
  <si>
    <t>{"#",190a7469-3325-4d33-b5ec-28a63ac83b06,283:84f100155d46f6e511f09d4f7d2ae0fc}</t>
  </si>
  <si>
    <t>00-00001112</t>
  </si>
  <si>
    <t>Стекло G-Rhino 6D l Tecno Pova 6 Neo</t>
  </si>
  <si>
    <t>{"#",190a7469-3325-4d33-b5ec-28a63ac83b06,283:84f100155d46f6e511f09d4f7d455d06}</t>
  </si>
  <si>
    <t>00-00001113</t>
  </si>
  <si>
    <t>Стекло G-Rhino 6D l Tecno Pova 6 Pro (330 glue)</t>
  </si>
  <si>
    <t>{"#",190a7469-3325-4d33-b5ec-28a63ac83b06,283:84f100155d46f6e511f09d4f7d604d28}</t>
  </si>
  <si>
    <t>00-00001114</t>
  </si>
  <si>
    <t>Стекло G-Rhino 6D l Tecno Spark 10 Pro</t>
  </si>
  <si>
    <t>{"#",190a7469-3325-4d33-b5ec-28a63ac83b06,283:84f100155d46f6e511f09d4f7d7b2436}</t>
  </si>
  <si>
    <t>00-00001115</t>
  </si>
  <si>
    <t>Стекло G-Rhino 6D l Tecno Spark 8C</t>
  </si>
  <si>
    <t>{"#",190a7469-3325-4d33-b5ec-28a63ac83b06,283:84f100155d46f6e511f09d4f7d97c9f6}</t>
  </si>
  <si>
    <t>00-00001116</t>
  </si>
  <si>
    <t>Стекло G-Rhino 6D l Tecno Spark 8P</t>
  </si>
  <si>
    <t>{"#",190a7469-3325-4d33-b5ec-28a63ac83b06,283:84f100155d46f6e511f09d4f7db1694c}</t>
  </si>
  <si>
    <t>00-00001117</t>
  </si>
  <si>
    <t>Стекло G-Rhino 6D l Tecno Spark Go 1 / 2</t>
  </si>
  <si>
    <t>{"#",190a7469-3325-4d33-b5ec-28a63ac83b06,283:84f100155d46f6e511f09d4f7dc8ff94}</t>
  </si>
  <si>
    <t>00-00001118</t>
  </si>
  <si>
    <t>Стекло G-Rhino 6D l Tecno Spark Go 2024</t>
  </si>
  <si>
    <t>{"#",190a7469-3325-4d33-b5ec-28a63ac83b06,283:84f100155d46f6e511f09d4f7de16656}</t>
  </si>
  <si>
    <t>00-00001119</t>
  </si>
  <si>
    <t>Стекло G-Rhino 6D l Vivo V20 / V20 SE</t>
  </si>
  <si>
    <t>{"#",190a7469-3325-4d33-b5ec-28a63ac83b06,283:84f100155d46f6e511f09d4f7df9937a}</t>
  </si>
  <si>
    <t>00-00001120</t>
  </si>
  <si>
    <t>Стекло G-Rhino 6D l Vivo Y31 / Y51 / Y51a / Y52 / Y53s</t>
  </si>
  <si>
    <t>{"#",190a7469-3325-4d33-b5ec-28a63ac83b06,283:84f100155d46f6e511f09d4f7e1348b0}</t>
  </si>
  <si>
    <t>00-00001121</t>
  </si>
  <si>
    <t>Стекло G-Rhino 6D l Xiaomi 11T / 11T Pro</t>
  </si>
  <si>
    <t>{"#",190a7469-3325-4d33-b5ec-28a63ac83b06,283:84f100155d46f6e511f09d4f7e2c45fe}</t>
  </si>
  <si>
    <t>00-00001122</t>
  </si>
  <si>
    <t>Стекло G-Rhino 6D l Xiaomi 12 Lite</t>
  </si>
  <si>
    <t>{"#",190a7469-3325-4d33-b5ec-28a63ac83b06,283:84f100155d46f6e511f09d4f7e4588c0}</t>
  </si>
  <si>
    <t>00-00001123</t>
  </si>
  <si>
    <t>Стекло G-Rhino 6D l Xiaomi 12T / 12T Pro (330 glue)</t>
  </si>
  <si>
    <t>{"#",190a7469-3325-4d33-b5ec-28a63ac83b06,283:84f100155d46f6e511f09d4f7e5dc944}</t>
  </si>
  <si>
    <t>00-00001904</t>
  </si>
  <si>
    <t>Стекло G-Rhino 6D l Xiaomi 13 / 14 / 15 (380 glue)</t>
  </si>
  <si>
    <t>{"#",190a7469-3325-4d33-b5ec-28a63ac83b06,283:9f9800155d46f6e511f0a1f78ebf51fc}</t>
  </si>
  <si>
    <t>00-00001125</t>
  </si>
  <si>
    <t>Стекло G-Rhino 6D l Xiaomi 14T / 14T Pro</t>
  </si>
  <si>
    <t>{"#",190a7469-3325-4d33-b5ec-28a63ac83b06,283:84f100155d46f6e511f09d4f7e8f479e}</t>
  </si>
  <si>
    <t>00-00001126</t>
  </si>
  <si>
    <t>Стекло G-Rhino 6D l Xiaomi Mi 10T</t>
  </si>
  <si>
    <t>{"#",190a7469-3325-4d33-b5ec-28a63ac83b06,283:84f100155d46f6e511f09d4f7ea7f668}</t>
  </si>
  <si>
    <t>00-00001127</t>
  </si>
  <si>
    <t>Стекло G-Rhino 6D l Xiaomi Mi 11 Lite</t>
  </si>
  <si>
    <t>{"#",190a7469-3325-4d33-b5ec-28a63ac83b06,283:84f100155d46f6e511f09d4f7ec23b0e}</t>
  </si>
  <si>
    <t>00-00001128</t>
  </si>
  <si>
    <t>Стекло G-Rhino 6D l Xiaomi Mi 8 / Mi 8 Pro</t>
  </si>
  <si>
    <t>{"#",190a7469-3325-4d33-b5ec-28a63ac83b06,283:84f100155d46f6e511f09d4f7edc8f0e}</t>
  </si>
  <si>
    <t>00-00001129</t>
  </si>
  <si>
    <t>Стекло G-Rhino 6D l Xiaomi Mi 8 Lite</t>
  </si>
  <si>
    <t>{"#",190a7469-3325-4d33-b5ec-28a63ac83b06,283:84f100155d46f6e511f09d4f7ef9030a}</t>
  </si>
  <si>
    <t>00-00001131</t>
  </si>
  <si>
    <t>Стекло G-Rhino 6D l Xiaomi Mi 9 / Mi 9 Lite / CC9</t>
  </si>
  <si>
    <t>{"#",190a7469-3325-4d33-b5ec-28a63ac83b06,283:84f100155d46f6e511f09d4f7f2e215c}</t>
  </si>
  <si>
    <t>00-00001132</t>
  </si>
  <si>
    <t>Стекло G-Rhino 6D l Xiaomi Mi 9 SE</t>
  </si>
  <si>
    <t>{"#",190a7469-3325-4d33-b5ec-28a63ac83b06,283:84f100155d46f6e511f09d4f7f4ade5a}</t>
  </si>
  <si>
    <t>00-00001133</t>
  </si>
  <si>
    <t>Стекло G-Rhino 6D l Xiaomi Mi 9T/ K20 / K20 Pro</t>
  </si>
  <si>
    <t>{"#",190a7469-3325-4d33-b5ec-28a63ac83b06,283:84f100155d46f6e511f09d4f7f656086}</t>
  </si>
  <si>
    <t>00-00001134</t>
  </si>
  <si>
    <t>Стекло G-Rhino 6D l Xiaomi Poco F5 (330 glue)</t>
  </si>
  <si>
    <t>{"#",190a7469-3325-4d33-b5ec-28a63ac83b06,283:84f100155d46f6e511f09d4f7f805b66}</t>
  </si>
  <si>
    <t>00-00001135</t>
  </si>
  <si>
    <t>Стекло G-Rhino 6D l Xiaomi Poco F5 Pro / Redmi Note 12 Turbo (330 glue)</t>
  </si>
  <si>
    <t>{"#",190a7469-3325-4d33-b5ec-28a63ac83b06,283:84f100155d46f6e511f09d4f7f9a24ba}</t>
  </si>
  <si>
    <t>00-00001905</t>
  </si>
  <si>
    <t>Стекло G-Rhino 6D l Xiaomi Poco F6 Pro (330 glue)</t>
  </si>
  <si>
    <t>{"#",190a7469-3325-4d33-b5ec-28a63ac83b06,283:9f9800155d46f6e511f0a1f79fdf14f4}</t>
  </si>
  <si>
    <t>00-00001139</t>
  </si>
  <si>
    <t>Стекло G-Rhino 6D l Xiaomi Poco F7 Pro / F7 Ultra</t>
  </si>
  <si>
    <t>{"#",190a7469-3325-4d33-b5ec-28a63ac83b06,283:84f100155d46f6e511f09d4f80014208}</t>
  </si>
  <si>
    <t>00-00001140</t>
  </si>
  <si>
    <t>Стекло G-Rhino 6D l Xiaomi Poco M3 / Redmi 9T</t>
  </si>
  <si>
    <t>{"#",190a7469-3325-4d33-b5ec-28a63ac83b06,283:84f100155d46f6e511f09d4f801a51da}</t>
  </si>
  <si>
    <t>00-00001141</t>
  </si>
  <si>
    <t>Стекло G-Rhino 6D l Xiaomi Poco M3 Pro / Redmi Note 10T</t>
  </si>
  <si>
    <t>{"#",190a7469-3325-4d33-b5ec-28a63ac83b06,283:84f100155d46f6e511f09d4f80329fe2}</t>
  </si>
  <si>
    <t>00-00001142</t>
  </si>
  <si>
    <t>Стекло G-Rhino 6D l Xiaomi Poco M4 5G / Poco M5 / Redmi Note 11R</t>
  </si>
  <si>
    <t>{"#",190a7469-3325-4d33-b5ec-28a63ac83b06,283:84f100155d46f6e511f09d4f804cf680}</t>
  </si>
  <si>
    <t>00-00001143</t>
  </si>
  <si>
    <t>Стекло G-Rhino 6D l Xiaomi Poco X3 / Mi 10i</t>
  </si>
  <si>
    <t>{"#",190a7469-3325-4d33-b5ec-28a63ac83b06,283:84f100155d46f6e511f09d4f8068a88a}</t>
  </si>
  <si>
    <t>00-00001144</t>
  </si>
  <si>
    <t>Стекло G-Rhino 6D l Xiaomi Poco X3 GT / Note 11T / Poco M4 Pro 5G</t>
  </si>
  <si>
    <t>{"#",190a7469-3325-4d33-b5ec-28a63ac83b06,283:84f100155d46f6e511f09d4f80846dfe}</t>
  </si>
  <si>
    <t>00-00001145</t>
  </si>
  <si>
    <t>Стекло G-Rhino 6D l Xiaomi Poco X7 Pro (330 glue)</t>
  </si>
  <si>
    <t>{"#",190a7469-3325-4d33-b5ec-28a63ac83b06,283:84f100155d46f6e511f09d4f809d2ccc}</t>
  </si>
  <si>
    <t>00-00001146</t>
  </si>
  <si>
    <t>Стекло G-Rhino 6D l Xiaomi Redmi 10C / 12C / Poco C40 / C55 / C61</t>
  </si>
  <si>
    <t>{"#",190a7469-3325-4d33-b5ec-28a63ac83b06,283:84f100155d46f6e511f09d4f80b74a94}</t>
  </si>
  <si>
    <t>00-00001147</t>
  </si>
  <si>
    <t>Стекло G-Rhino 6D l Xiaomi Redmi 12 / 13</t>
  </si>
  <si>
    <t>{"#",190a7469-3325-4d33-b5ec-28a63ac83b06,283:84f100155d46f6e511f09d4f80d1c9d2}</t>
  </si>
  <si>
    <t>00-00001148</t>
  </si>
  <si>
    <t>Стекло G-Rhino 6D l Xiaomi Redmi 13C / Poco C65</t>
  </si>
  <si>
    <t>{"#",190a7469-3325-4d33-b5ec-28a63ac83b06,283:84f100155d46f6e511f09d4f80e9ec56}</t>
  </si>
  <si>
    <t>00-00001149</t>
  </si>
  <si>
    <t>Стекло G-Rhino 6D l Xiaomi Redmi 14C / Redmi A4 / A5 / Poco C71 / C75</t>
  </si>
  <si>
    <t>{"#",190a7469-3325-4d33-b5ec-28a63ac83b06,283:84f100155d46f6e511f09d4f81026b6e}</t>
  </si>
  <si>
    <t>00-00001841</t>
  </si>
  <si>
    <t>Стекло G-Rhino 6D l Xiaomi Redmi 15 / Poco M7 4G</t>
  </si>
  <si>
    <t>{"#",190a7469-3325-4d33-b5ec-28a63ac83b06,283:827d00155d46f85011f09ec2b3728178}</t>
  </si>
  <si>
    <t>00-00001150</t>
  </si>
  <si>
    <t>Стекло G-Rhino 6D l Xiaomi Redmi 6 / 6a (черная рамка)</t>
  </si>
  <si>
    <t>{"#",190a7469-3325-4d33-b5ec-28a63ac83b06,283:84f100155d46f6e511f09d4f811adece}</t>
  </si>
  <si>
    <t>00-00001151</t>
  </si>
  <si>
    <t>Стекло G-Rhino 6D l Xiaomi Redmi 8/8a</t>
  </si>
  <si>
    <t>{"#",190a7469-3325-4d33-b5ec-28a63ac83b06,283:84f100155d46f6e511f09d4f8133407c}</t>
  </si>
  <si>
    <t>00-00001152</t>
  </si>
  <si>
    <t>Стекло G-Rhino 6D l Xiaomi Redmi 9 / Poco M2</t>
  </si>
  <si>
    <t>{"#",190a7469-3325-4d33-b5ec-28a63ac83b06,283:84f100155d46f6e511f09d4f814d7276}</t>
  </si>
  <si>
    <t>00-00001153</t>
  </si>
  <si>
    <t>Стекло G-Rhino 6D l Xiaomi Redmi 9a / 9c / 10a / Poco C51 / Spark Go 2022</t>
  </si>
  <si>
    <t>{"#",190a7469-3325-4d33-b5ec-28a63ac83b06,283:84f100155d46f6e511f09d4f8165ac56}</t>
  </si>
  <si>
    <t>00-00001154</t>
  </si>
  <si>
    <t>Стекло G-Rhino 6D l Xiaomi Redmi Note 10 / 10s / Poco M4 Pro / M5s</t>
  </si>
  <si>
    <t>{"#",190a7469-3325-4d33-b5ec-28a63ac83b06,283:84f100155d46f6e511f09d4f817e9c70}</t>
  </si>
  <si>
    <t>00-00001155</t>
  </si>
  <si>
    <t>Стекло G-Rhino 6D l Xiaomi Redmi Note 10 Pro / Note 11 Pro / Poco X4 Pro / Mi 11i / Poco F3</t>
  </si>
  <si>
    <t>{"#",190a7469-3325-4d33-b5ec-28a63ac83b06,283:84f100155d46f6e511f09d4f8198584a}</t>
  </si>
  <si>
    <t>00-00001156</t>
  </si>
  <si>
    <t>Стекло G-Rhino 6D l Xiaomi Redmi Note 11 / Note 11s / Note 12s</t>
  </si>
  <si>
    <t>{"#",190a7469-3325-4d33-b5ec-28a63ac83b06,283:84f100155d46f6e511f09d4f81b0ead6}</t>
  </si>
  <si>
    <t>00-00001157</t>
  </si>
  <si>
    <t>Стекло G-Rhino 6D l Xiaomi Redmi Note 12 / Poco X5</t>
  </si>
  <si>
    <t>{"#",190a7469-3325-4d33-b5ec-28a63ac83b06,283:84f100155d46f6e511f09d4f81c85f90}</t>
  </si>
  <si>
    <t>00-00001159</t>
  </si>
  <si>
    <t>Стекло G-Rhino 6D l Xiaomi Redmi Note 12 Pro / Pro + / Poco X5 Pro (330 glue)</t>
  </si>
  <si>
    <t>{"#",190a7469-3325-4d33-b5ec-28a63ac83b06,283:84f100155d46f6e511f09d4f81faaaf4}</t>
  </si>
  <si>
    <t>00-00001160</t>
  </si>
  <si>
    <t>Стекло G-Rhino 6D l Xiaomi Redmi Note 13 4G / Note 14 (330 glue)</t>
  </si>
  <si>
    <t>{"#",190a7469-3325-4d33-b5ec-28a63ac83b06,283:84f100155d46f6e511f09d4f8216a7b8}</t>
  </si>
  <si>
    <t>00-00001161</t>
  </si>
  <si>
    <t>Стекло G-Rhino 6D l Xiaomi Redmi Note 13 5G / Note 13 Pro 5G / Poco X6 (330 glue)</t>
  </si>
  <si>
    <t>{"#",190a7469-3325-4d33-b5ec-28a63ac83b06,283:84f100155d46f6e511f09d4f823a21a2}</t>
  </si>
  <si>
    <t>00-00001162</t>
  </si>
  <si>
    <t>Стекло G-Rhino 6D l Xiaomi Redmi Note 13 Pro 4G / Note 14s / Poco M6 Pro 4G (330 glue)</t>
  </si>
  <si>
    <t>{"#",190a7469-3325-4d33-b5ec-28a63ac83b06,283:84f100155d46f6e511f09d4f825bf200}</t>
  </si>
  <si>
    <t>00-00001163</t>
  </si>
  <si>
    <t>Стекло G-Rhino 6D l Xiaomi Redmi Note 4x (белая рамка)</t>
  </si>
  <si>
    <t>{"#",190a7469-3325-4d33-b5ec-28a63ac83b06,283:84f100155d46f6e511f09d4f827dd654}</t>
  </si>
  <si>
    <t>00-00001164</t>
  </si>
  <si>
    <t>Стекло G-Rhino 6D l Xiaomi Redmi Note 5/ 5 Pro (белая рамка)</t>
  </si>
  <si>
    <t>{"#",190a7469-3325-4d33-b5ec-28a63ac83b06,283:84f100155d46f6e511f09d4f82a4c584}</t>
  </si>
  <si>
    <t>00-00001166</t>
  </si>
  <si>
    <t>Стекло G-Rhino 6D l Xiaomi Redmi Note 7 / 7S / 7 Pro</t>
  </si>
  <si>
    <t>{"#",190a7469-3325-4d33-b5ec-28a63ac83b06,283:84f100155d46f6e511f09d4f82ff3190}</t>
  </si>
  <si>
    <t>00-00001167</t>
  </si>
  <si>
    <t>Стекло G-Rhino 6D l Xiaomi Redmi Note 8</t>
  </si>
  <si>
    <t>{"#",190a7469-3325-4d33-b5ec-28a63ac83b06,283:84f100155d46f6e511f09d4f83216828}</t>
  </si>
  <si>
    <t>00-00001168</t>
  </si>
  <si>
    <t>Стекло G-Rhino 6D l Xiaomi Redmi Note 8 Pro</t>
  </si>
  <si>
    <t>{"#",190a7469-3325-4d33-b5ec-28a63ac83b06,283:84f100155d46f6e511f09d4f833a3b6e}</t>
  </si>
  <si>
    <t>00-00001169</t>
  </si>
  <si>
    <t>Стекло G-Rhino 6D l Xiaomi Redmi Note 8T</t>
  </si>
  <si>
    <t>{"#",190a7469-3325-4d33-b5ec-28a63ac83b06,283:84f100155d46f6e511f09d4f83548384}</t>
  </si>
  <si>
    <t>00-00001170</t>
  </si>
  <si>
    <t>Стекло G-Rhino 6D l Xiaomi Redmi Note 9 / Note 9T / Redmi 10X</t>
  </si>
  <si>
    <t>{"#",190a7469-3325-4d33-b5ec-28a63ac83b06,283:84f100155d46f6e511f09d4f836e67ea}</t>
  </si>
  <si>
    <t>00-00001171</t>
  </si>
  <si>
    <t>Стекло G-Rhino 6D l Xiaomi Redmi Note 9s / Pro</t>
  </si>
  <si>
    <t>{"#",190a7469-3325-4d33-b5ec-28a63ac83b06,283:84f100155d46f6e511f09d4f8390cae2}</t>
  </si>
  <si>
    <t>G-Rhino 6D в упаковке</t>
  </si>
  <si>
    <t>00-00001415</t>
  </si>
  <si>
    <t>Стекло в упаковке G-Rhino 6D l Google Pixel 6</t>
  </si>
  <si>
    <t>{"#",190a7469-3325-4d33-b5ec-28a63ac83b06,283:84f100155d46f6e511f09d4fa18a0e78}</t>
  </si>
  <si>
    <t>00-00001420</t>
  </si>
  <si>
    <t>Стекло в упаковке G-Rhino 6D l Google Pixel 8a (330 glue)</t>
  </si>
  <si>
    <t>{"#",190a7469-3325-4d33-b5ec-28a63ac83b06,283:84f100155d46f6e511f09d4fa2086f16}</t>
  </si>
  <si>
    <t>00-00001424</t>
  </si>
  <si>
    <t>Стекло в упаковке G-Rhino 6D l Honor 10</t>
  </si>
  <si>
    <t>{"#",190a7469-3325-4d33-b5ec-28a63ac83b06,283:84f100155d46f6e511f09d4fa26d45a8}</t>
  </si>
  <si>
    <t>00-00001434</t>
  </si>
  <si>
    <t>Стекло в упаковке G-Rhino 6D l Honor X7 / X7a</t>
  </si>
  <si>
    <t>{"#",190a7469-3325-4d33-b5ec-28a63ac83b06,283:84f100155d46f6e511f09d4fa3738eee}</t>
  </si>
  <si>
    <t>00-00001437</t>
  </si>
  <si>
    <t>Стекло в упаковке G-Rhino 6D l Honor X8b / X8c</t>
  </si>
  <si>
    <t>{"#",190a7469-3325-4d33-b5ec-28a63ac83b06,283:84f100155d46f6e511f09d4fa3bf0e28}</t>
  </si>
  <si>
    <t>00-00001439</t>
  </si>
  <si>
    <t>Стекло в упаковке G-Rhino 6D l Huawei Nova 10 SE</t>
  </si>
  <si>
    <t>{"#",190a7469-3325-4d33-b5ec-28a63ac83b06,283:84f100155d46f6e511f09d4fa3f139f2}</t>
  </si>
  <si>
    <t>00-00001440</t>
  </si>
  <si>
    <t>Стекло в упаковке G-Rhino 6D l Huawei Nova 12 SE</t>
  </si>
  <si>
    <t>{"#",190a7469-3325-4d33-b5ec-28a63ac83b06,283:84f100155d46f6e511f09d4fa4098fc0}</t>
  </si>
  <si>
    <t>00-00001441</t>
  </si>
  <si>
    <t>Стекло в упаковке G-Rhino 6D l Huawei Nova 12i / 13i</t>
  </si>
  <si>
    <t>{"#",190a7469-3325-4d33-b5ec-28a63ac83b06,283:84f100155d46f6e511f09d4fa42259a6}</t>
  </si>
  <si>
    <t>00-00001442</t>
  </si>
  <si>
    <t>Стекло в упаковке G-Rhino 6D l Huawei Nova 12s / Nova 13 / Nova 14</t>
  </si>
  <si>
    <t>{"#",190a7469-3325-4d33-b5ec-28a63ac83b06,283:84f100155d46f6e511f09d4fa43c2a98}</t>
  </si>
  <si>
    <t>00-00001443</t>
  </si>
  <si>
    <t>Стекло в упаковке G-Rhino 6D l Huawei Nova 9 SE</t>
  </si>
  <si>
    <t>{"#",190a7469-3325-4d33-b5ec-28a63ac83b06,283:84f100155d46f6e511f09d4fa455dab0}</t>
  </si>
  <si>
    <t>00-00001444</t>
  </si>
  <si>
    <t>Стекло в упаковке G-Rhino 6D l Huawei Nova Y70 / Y71 / Y70 Plus</t>
  </si>
  <si>
    <t>{"#",190a7469-3325-4d33-b5ec-28a63ac83b06,283:84f100155d46f6e511f09d4fa46e23cc}</t>
  </si>
  <si>
    <t>00-00001445</t>
  </si>
  <si>
    <t>Стекло в упаковке G-Rhino 6D l Huawei Nova Y72 (330 glue)</t>
  </si>
  <si>
    <t>{"#",190a7469-3325-4d33-b5ec-28a63ac83b06,283:84f100155d46f6e511f09d4fa487135a}</t>
  </si>
  <si>
    <t>00-00001446</t>
  </si>
  <si>
    <t>Стекло в упаковке G-Rhino 6D l Huawei Nova Y73 (330 glue)</t>
  </si>
  <si>
    <t>{"#",190a7469-3325-4d33-b5ec-28a63ac83b06,283:84f100155d46f6e511f09d4fa49f555a}</t>
  </si>
  <si>
    <t>00-00001452</t>
  </si>
  <si>
    <t>Стекло в упаковке G-Rhino 6D l Huawei P30 Lite / Honor 20 Lite / 20s / Nova 4e</t>
  </si>
  <si>
    <t>{"#",190a7469-3325-4d33-b5ec-28a63ac83b06,283:84f100155d46f6e511f09d4fa534b0dc}</t>
  </si>
  <si>
    <t>00-00001457</t>
  </si>
  <si>
    <t>Стекло в упаковке G-Rhino 6D l Huawei Y7 / Y7 Pro 2019</t>
  </si>
  <si>
    <t>{"#",190a7469-3325-4d33-b5ec-28a63ac83b06,283:84f100155d46f6e511f09d4fa5af701a}</t>
  </si>
  <si>
    <t>00-00001461</t>
  </si>
  <si>
    <t>Стекло в упаковке G-Rhino 6D l Infinix Hot 50 4G</t>
  </si>
  <si>
    <t>{"#",190a7469-3325-4d33-b5ec-28a63ac83b06,283:84f100155d46f6e511f09d4fa621a1e4}</t>
  </si>
  <si>
    <t>00-00001462</t>
  </si>
  <si>
    <t>Стекло в упаковке G-Rhino 6D l Infinix Hot 60</t>
  </si>
  <si>
    <t>{"#",190a7469-3325-4d33-b5ec-28a63ac83b06,283:84f100155d46f6e511f09d4fa63db5a0}</t>
  </si>
  <si>
    <t>00-00001463</t>
  </si>
  <si>
    <t>Стекло в упаковке G-Rhino 6D l Infinix Hot 60 Pro (330 glue)</t>
  </si>
  <si>
    <t>{"#",190a7469-3325-4d33-b5ec-28a63ac83b06,283:84f100155d46f6e511f09d4fa6559ca6}</t>
  </si>
  <si>
    <t>00-00001464</t>
  </si>
  <si>
    <t>Стекло в упаковке G-Rhino 6D l Infinix Note 11 / Note 12 / Note 12 Pro / Zero 20</t>
  </si>
  <si>
    <t>{"#",190a7469-3325-4d33-b5ec-28a63ac83b06,283:84f100155d46f6e511f09d4fa66d5576}</t>
  </si>
  <si>
    <t>00-00001468</t>
  </si>
  <si>
    <t>Стекло в упаковке G-Rhino 6D l Infinix Note 50 4G / Note 50 Pro 4G / Note 40 5G</t>
  </si>
  <si>
    <t>{"#",190a7469-3325-4d33-b5ec-28a63ac83b06,283:84f100155d46f6e511f09d4fa6cf0776}</t>
  </si>
  <si>
    <t>00-00001469</t>
  </si>
  <si>
    <t>Стекло в упаковке G-Rhino 6D l iPhone 12 / 12 Pro</t>
  </si>
  <si>
    <t>{"#",190a7469-3325-4d33-b5ec-28a63ac83b06,283:84f100155d46f6e511f09d4fa6e78940}</t>
  </si>
  <si>
    <t>00-00001473</t>
  </si>
  <si>
    <t>Стекло в упаковке G-Rhino 6D l iPhone 13 / 13 Pro / 14 / 16e</t>
  </si>
  <si>
    <t>{"#",190a7469-3325-4d33-b5ec-28a63ac83b06,283:84f100155d46f6e511f09d4fa762932e}</t>
  </si>
  <si>
    <t>00-00001475</t>
  </si>
  <si>
    <t>Стекло в упаковке G-Rhino 6D l iPhone 13 Pro Max / 14 Plus</t>
  </si>
  <si>
    <t>{"#",190a7469-3325-4d33-b5ec-28a63ac83b06,283:84f100155d46f6e511f09d4fa793ba8a}</t>
  </si>
  <si>
    <t>00-00001478</t>
  </si>
  <si>
    <t>Стекло в упаковке G-Rhino 6D l iPhone 15 (330 glue)</t>
  </si>
  <si>
    <t>{"#",190a7469-3325-4d33-b5ec-28a63ac83b06,283:84f100155d46f6e511f09d4fa7dd826e}</t>
  </si>
  <si>
    <t>00-00001480</t>
  </si>
  <si>
    <t>Стекло в упаковке G-Rhino 6D l iPhone 15 Pro (330 glue)</t>
  </si>
  <si>
    <t>{"#",190a7469-3325-4d33-b5ec-28a63ac83b06,283:84f100155d46f6e511f09d4fa80f7a4e}</t>
  </si>
  <si>
    <t>00-00001482</t>
  </si>
  <si>
    <t>Стекло в упаковке G-Rhino 6D l iPhone 16 (380 glue)</t>
  </si>
  <si>
    <t>{"#",190a7469-3325-4d33-b5ec-28a63ac83b06,283:84f100155d46f6e511f09d4fa84162de}</t>
  </si>
  <si>
    <t>00-00001485</t>
  </si>
  <si>
    <t>Стекло в упаковке G-Rhino 6D l iPhone 16 Pro Max (380 glue)</t>
  </si>
  <si>
    <t>{"#",190a7469-3325-4d33-b5ec-28a63ac83b06,283:84f100155d46f6e511f09d4fa8890792}</t>
  </si>
  <si>
    <t>00-00001505</t>
  </si>
  <si>
    <t>Стекло в упаковке G-Rhino 6D l Nothing Phone 3 (330 glue)</t>
  </si>
  <si>
    <t>{"#",190a7469-3325-4d33-b5ec-28a63ac83b06,283:84f100155d46f6e511f09d4faa81e8a2}</t>
  </si>
  <si>
    <t>00-00001506</t>
  </si>
  <si>
    <t>Стекло в упаковке G-Rhino 6D l Nothing Phone 3a / 3a Pro / CMF Phone 2 Pro (330 glue)</t>
  </si>
  <si>
    <t>{"#",190a7469-3325-4d33-b5ec-28a63ac83b06,283:84f100155d46f6e511f09d4faa9a75ca}</t>
  </si>
  <si>
    <t>00-00001513</t>
  </si>
  <si>
    <t>Стекло в упаковке G-Rhino 6D l OnePlus 6T / 7</t>
  </si>
  <si>
    <t>{"#",190a7469-3325-4d33-b5ec-28a63ac83b06,283:84f100155d46f6e511f09d4fab669150}</t>
  </si>
  <si>
    <t>00-00001514</t>
  </si>
  <si>
    <t>Стекло в упаковке G-Rhino 6D l OnePlus 7T</t>
  </si>
  <si>
    <t>{"#",190a7469-3325-4d33-b5ec-28a63ac83b06,283:84f100155d46f6e511f09d4fab874850}</t>
  </si>
  <si>
    <t>00-00001515</t>
  </si>
  <si>
    <t>Стекло в упаковке G-Rhino 6D l OnePlus 8T / 9</t>
  </si>
  <si>
    <t>{"#",190a7469-3325-4d33-b5ec-28a63ac83b06,283:84f100155d46f6e511f09d4faba0f052}</t>
  </si>
  <si>
    <t>00-00001517</t>
  </si>
  <si>
    <t>Стекло в упаковке G-Rhino 6D l OnePlus Nord</t>
  </si>
  <si>
    <t>{"#",190a7469-3325-4d33-b5ec-28a63ac83b06,283:84f100155d46f6e511f09d4fabe8152c}</t>
  </si>
  <si>
    <t>00-00001518</t>
  </si>
  <si>
    <t>Стекло в упаковке G-Rhino 6D l OnePlus Nord 3 / CE 3</t>
  </si>
  <si>
    <t>{"#",190a7469-3325-4d33-b5ec-28a63ac83b06,283:84f100155d46f6e511f09d4fac02f9be}</t>
  </si>
  <si>
    <t>00-00001519</t>
  </si>
  <si>
    <t>Стекло в упаковке G-Rhino 6D l OnePlus Nord 3 / CE 3 (330 glue)</t>
  </si>
  <si>
    <t>{"#",190a7469-3325-4d33-b5ec-28a63ac83b06,283:84f100155d46f6e511f09d4fac1c7bbe}</t>
  </si>
  <si>
    <t>00-00001522</t>
  </si>
  <si>
    <t>Стекло в упаковке G-Rhino 6D l OnePlus Nord CE 5 / Ace 5 Racing (330 glue)</t>
  </si>
  <si>
    <t>{"#",190a7469-3325-4d33-b5ec-28a63ac83b06,283:84f100155d46f6e511f09d4fac678424}</t>
  </si>
  <si>
    <t>00-00001535</t>
  </si>
  <si>
    <t>Стекло в упаковке G-Rhino 6D l Realme 12 4G / 12+ / 13 4G</t>
  </si>
  <si>
    <t>{"#",190a7469-3325-4d33-b5ec-28a63ac83b06,283:84f100155d46f6e511f09d4fadbafb76}</t>
  </si>
  <si>
    <t>00-00001536</t>
  </si>
  <si>
    <t>Стекло в упаковке G-Rhino 6D l Realme 14 / 14T / P3 / Oppo Reno 13F</t>
  </si>
  <si>
    <t>{"#",190a7469-3325-4d33-b5ec-28a63ac83b06,283:84f100155d46f6e511f09d4fadd33d62}</t>
  </si>
  <si>
    <t>00-00001537</t>
  </si>
  <si>
    <t>Стекло в упаковке G-Rhino 6D l Realme 5 / C3 / C11 / C12 / C15 / C20 / C21 / C25 / C25s / C30 / C31</t>
  </si>
  <si>
    <t>{"#",190a7469-3325-4d33-b5ec-28a63ac83b06,283:84f100155d46f6e511f09d4fadebb6ee}</t>
  </si>
  <si>
    <t>00-00001538</t>
  </si>
  <si>
    <t>Стекло в упаковке G-Rhino 6D l Realme 6 Pro</t>
  </si>
  <si>
    <t>{"#",190a7469-3325-4d33-b5ec-28a63ac83b06,283:84f100155d46f6e511f09d4fae042242}</t>
  </si>
  <si>
    <t>00-00001541</t>
  </si>
  <si>
    <t>Стекло в упаковке G-Rhino 6D l Realme 8i / 7i / OPPO A53/A54/A55</t>
  </si>
  <si>
    <t>{"#",190a7469-3325-4d33-b5ec-28a63ac83b06,283:84f100155d46f6e511f09d4fae4fcef4}</t>
  </si>
  <si>
    <t>00-00001544</t>
  </si>
  <si>
    <t>Стекло в упаковке G-Rhino 6D l Realme 9 Pro / 9i</t>
  </si>
  <si>
    <t>{"#",190a7469-3325-4d33-b5ec-28a63ac83b06,283:84f100155d46f6e511f09d4fae9b414a}</t>
  </si>
  <si>
    <t>00-00001545</t>
  </si>
  <si>
    <t>Стекло в упаковке G-Rhino 6D l Realme C53 / C51 / Narzo N53</t>
  </si>
  <si>
    <t>{"#",190a7469-3325-4d33-b5ec-28a63ac83b06,283:84f100155d46f6e511f09d4faeb477a0}</t>
  </si>
  <si>
    <t>00-00001547</t>
  </si>
  <si>
    <t>Стекло в упаковке G-Rhino 6D l Realme C67 5G / 11 5G / 11X / Narzo 60X</t>
  </si>
  <si>
    <t>{"#",190a7469-3325-4d33-b5ec-28a63ac83b06,283:84f100155d46f6e511f09d4faef11e26}</t>
  </si>
  <si>
    <t>00-00001560</t>
  </si>
  <si>
    <t>Стекло в упаковке G-Rhino 6D l Samsung A13 4G / A23</t>
  </si>
  <si>
    <t>{"#",190a7469-3325-4d33-b5ec-28a63ac83b06,283:84f100155d46f6e511f09d4fb0d6f224}</t>
  </si>
  <si>
    <t>00-00001565</t>
  </si>
  <si>
    <t>Стекло в упаковке G-Rhino 6D l Samsung A21 / A21s</t>
  </si>
  <si>
    <t>{"#",190a7469-3325-4d33-b5ec-28a63ac83b06,283:84f100155d46f6e511f09d4fb16e5e02}</t>
  </si>
  <si>
    <t>00-00001566</t>
  </si>
  <si>
    <t>Стекло в упаковке G-Rhino 6D l Samsung A22s / A22 5G</t>
  </si>
  <si>
    <t>{"#",190a7469-3325-4d33-b5ec-28a63ac83b06,283:84f100155d46f6e511f09d4fb1914ac0}</t>
  </si>
  <si>
    <t>00-00001573</t>
  </si>
  <si>
    <t>Стекло в упаковке G-Rhino 6D l Samsung A36 / A56 / S24 FE</t>
  </si>
  <si>
    <t>{"#",190a7469-3325-4d33-b5ec-28a63ac83b06,283:84f100155d46f6e511f09d4fb24ac18a}</t>
  </si>
  <si>
    <t>00-00001574</t>
  </si>
  <si>
    <t>Стекло в упаковке G-Rhino 6D l Samsung A41</t>
  </si>
  <si>
    <t>{"#",190a7469-3325-4d33-b5ec-28a63ac83b06,283:84f100155d46f6e511f09d4fb26394c6}</t>
  </si>
  <si>
    <t>00-00001584</t>
  </si>
  <si>
    <t>Стекло в упаковке G-Rhino 6D l Samsung A70 / A70s</t>
  </si>
  <si>
    <t>{"#",190a7469-3325-4d33-b5ec-28a63ac83b06,283:84f100155d46f6e511f09d4fb36de89e}</t>
  </si>
  <si>
    <t>00-00001585</t>
  </si>
  <si>
    <t>Стекло в упаковке G-Rhino 6D l Samsung A71 / A81</t>
  </si>
  <si>
    <t>{"#",190a7469-3325-4d33-b5ec-28a63ac83b06,283:84f100155d46f6e511f09d4fb385f20e}</t>
  </si>
  <si>
    <t>00-00001591</t>
  </si>
  <si>
    <t>Стекло в упаковке G-Rhino 6D l Samsung M51 / M52 / M53 / M54 / M62 / F62</t>
  </si>
  <si>
    <t>{"#",190a7469-3325-4d33-b5ec-28a63ac83b06,283:84f100155d46f6e511f09d4fb41fe512}</t>
  </si>
  <si>
    <t>00-00001592</t>
  </si>
  <si>
    <t>Стекло в упаковке G-Rhino 6D l Samsung S10 Lite</t>
  </si>
  <si>
    <t>{"#",190a7469-3325-4d33-b5ec-28a63ac83b06,283:84f100155d46f6e511f09d4fb43fa83e}</t>
  </si>
  <si>
    <t>00-00001594</t>
  </si>
  <si>
    <t>Стекло в упаковке G-Rhino 6D l Samsung S20 FE</t>
  </si>
  <si>
    <t>{"#",190a7469-3325-4d33-b5ec-28a63ac83b06,283:84f100155d46f6e511f09d4fb478b2fa}</t>
  </si>
  <si>
    <t>00-00001595</t>
  </si>
  <si>
    <t>Стекло в упаковке G-Rhino 6D l Samsung S21 FE</t>
  </si>
  <si>
    <t>{"#",190a7469-3325-4d33-b5ec-28a63ac83b06,283:84f100155d46f6e511f09d4fb491a0c6}</t>
  </si>
  <si>
    <t>00-00001600</t>
  </si>
  <si>
    <t>Стекло в упаковке G-Rhino 6D l Samsung S24 Ultra</t>
  </si>
  <si>
    <t>{"#",190a7469-3325-4d33-b5ec-28a63ac83b06,283:84f100155d46f6e511f09d4fb5123ce0}</t>
  </si>
  <si>
    <t>00-00001602</t>
  </si>
  <si>
    <t>Стекло в упаковке G-Rhino 6D l Samsung S25 Edge</t>
  </si>
  <si>
    <t>{"#",190a7469-3325-4d33-b5ec-28a63ac83b06,283:84f100155d46f6e511f09d4fb543a730}</t>
  </si>
  <si>
    <t>00-00001606</t>
  </si>
  <si>
    <t>Стекло в упаковке G-Rhino 6D l Tecno Camon 40 Premier</t>
  </si>
  <si>
    <t>{"#",190a7469-3325-4d33-b5ec-28a63ac83b06,283:84f100155d46f6e511f09d4fb5aa7e6a}</t>
  </si>
  <si>
    <t>00-00001609</t>
  </si>
  <si>
    <t>Стекло в упаковке G-Rhino 6D l Tecno Pova 4 / Pova Neo 2 / Pova Neo 3</t>
  </si>
  <si>
    <t>{"#",190a7469-3325-4d33-b5ec-28a63ac83b06,283:84f100155d46f6e511f09d4fb5f6ad58}</t>
  </si>
  <si>
    <t>00-00001615</t>
  </si>
  <si>
    <t>Стекло в упаковке G-Rhino 6D l Tecno Pova 7</t>
  </si>
  <si>
    <t>{"#",190a7469-3325-4d33-b5ec-28a63ac83b06,283:84f100155d46f6e511f09d4fb691458e}</t>
  </si>
  <si>
    <t>00-00001621</t>
  </si>
  <si>
    <t>Стекло в упаковке G-Rhino 6D l Tecno Spark Go 1 / 2</t>
  </si>
  <si>
    <t>{"#",190a7469-3325-4d33-b5ec-28a63ac83b06,283:84f100155d46f6e511f09d4fb7278c88}</t>
  </si>
  <si>
    <t>00-00001622</t>
  </si>
  <si>
    <t>Стекло в упаковке G-Rhino 6D l Tecno Spark Go 2024</t>
  </si>
  <si>
    <t>{"#",190a7469-3325-4d33-b5ec-28a63ac83b06,283:84f100155d46f6e511f09d4fb741f9c4}</t>
  </si>
  <si>
    <t>00-00001628</t>
  </si>
  <si>
    <t>Стекло в упаковке G-Rhino 6D l Xiaomi 13 / 14 / 15 (380 glue)</t>
  </si>
  <si>
    <t>{"#",190a7469-3325-4d33-b5ec-28a63ac83b06,283:84f100155d46f6e511f09d4fb7d89ac8}</t>
  </si>
  <si>
    <t>00-00001632</t>
  </si>
  <si>
    <t>Стекло в упаковке G-Rhino 6D l Xiaomi Mi 8 / Mi 8 Pro</t>
  </si>
  <si>
    <t>{"#",190a7469-3325-4d33-b5ec-28a63ac83b06,283:84f100155d46f6e511f09d4fb83d45b8}</t>
  </si>
  <si>
    <t>00-00001640</t>
  </si>
  <si>
    <t>Стекло в упаковке G-Rhino 6D l Xiaomi Poco F5 Pro / Redmi Note 12 Turbo (330 glue)</t>
  </si>
  <si>
    <t>{"#",190a7469-3325-4d33-b5ec-28a63ac83b06,283:84f100155d46f6e511f09d4fb909dd62}</t>
  </si>
  <si>
    <t>00-00001642</t>
  </si>
  <si>
    <t>Стекло в упаковке G-Rhino 6D l Xiaomi Poco F6 Pro</t>
  </si>
  <si>
    <t>{"#",190a7469-3325-4d33-b5ec-28a63ac83b06,283:84f100155d46f6e511f09d4fb93fc5bc}</t>
  </si>
  <si>
    <t>00-00001645</t>
  </si>
  <si>
    <t>Стекло в упаковке G-Rhino 6D l Xiaomi Poco F7 Pro / F7 Ultra (330 glue)</t>
  </si>
  <si>
    <t>{"#",190a7469-3325-4d33-b5ec-28a63ac83b06,283:84f100155d46f6e511f09d4fb98de1ac}</t>
  </si>
  <si>
    <t>00-00001652</t>
  </si>
  <si>
    <t>Стекло в упаковке G-Rhino 6D l Xiaomi Poco X3 GT / Note 11T / Poco M4 Pro 5G</t>
  </si>
  <si>
    <t>{"#",190a7469-3325-4d33-b5ec-28a63ac83b06,283:84f100155d46f6e511f09d4fba69936e}</t>
  </si>
  <si>
    <t>00-00001653</t>
  </si>
  <si>
    <t>Стекло в упаковке G-Rhino 6D l Xiaomi Poco X7 Pro (330 glue)</t>
  </si>
  <si>
    <t>{"#",190a7469-3325-4d33-b5ec-28a63ac83b06,283:84f100155d46f6e511f09d4fba83eb4c}</t>
  </si>
  <si>
    <t>00-00001670</t>
  </si>
  <si>
    <t>Стекло в упаковке G-Rhino 6D l Xiaomi Redmi Note 11 / Note 11s / Note 12s</t>
  </si>
  <si>
    <t>{"#",190a7469-3325-4d33-b5ec-28a63ac83b06,283:84f100155d46f6e511f09d4fbc5985a8}</t>
  </si>
  <si>
    <t>00-00001674</t>
  </si>
  <si>
    <t>Стекло в упаковке G-Rhino 6D l Xiaomi Redmi Note 13 4G / Note 14 (330 glue)</t>
  </si>
  <si>
    <t>{"#",190a7469-3325-4d33-b5ec-28a63ac83b06,283:84f100155d46f6e511f09d4fbcc395ba}</t>
  </si>
  <si>
    <t>00-00001675</t>
  </si>
  <si>
    <t>Стекло в упаковке G-Rhino 6D l Xiaomi Redmi Note 13 5G / Note 13 Pro 5G / Poco X6 (330 glue)</t>
  </si>
  <si>
    <t>{"#",190a7469-3325-4d33-b5ec-28a63ac83b06,283:84f100155d46f6e511f09d4fbcdafd0e}</t>
  </si>
  <si>
    <t>00-00001683</t>
  </si>
  <si>
    <t>Стекло в упаковке G-Rhino 6D l Xiaomi Redmi Note 8</t>
  </si>
  <si>
    <t>{"#",190a7469-3325-4d33-b5ec-28a63ac83b06,283:84f100155d46f6e511f09d4fbdbbd194}</t>
  </si>
  <si>
    <t>00-00001688</t>
  </si>
  <si>
    <t>Стекло в упаковке G-Rhino HD Ultra l iPhone 13 / 13 Pro / 14 / 16e</t>
  </si>
  <si>
    <t>{"#",190a7469-3325-4d33-b5ec-28a63ac83b06,283:84f100155d46f6e511f09d4fbe5652d2}</t>
  </si>
  <si>
    <t>00-00001689</t>
  </si>
  <si>
    <t>Стекло в упаковке G-Rhino HD Ultra l iPhone 13 Pro Max / 14 Plus</t>
  </si>
  <si>
    <t>{"#",190a7469-3325-4d33-b5ec-28a63ac83b06,283:84f100155d46f6e511f09d4fbe714ace}</t>
  </si>
  <si>
    <t>00-00001690</t>
  </si>
  <si>
    <t>Стекло в упаковке G-Rhino HD Ultra l iPhone 14 Pro</t>
  </si>
  <si>
    <t>{"#",190a7469-3325-4d33-b5ec-28a63ac83b06,283:84f100155d46f6e511f09d4fbe89efa2}</t>
  </si>
  <si>
    <t>00-00001691</t>
  </si>
  <si>
    <t>Стекло в упаковке G-Rhino HD Ultra l iPhone 14 Pro Max</t>
  </si>
  <si>
    <t>{"#",190a7469-3325-4d33-b5ec-28a63ac83b06,283:84f100155d46f6e511f09d4fbea2b9d8}</t>
  </si>
  <si>
    <t>00-00001692</t>
  </si>
  <si>
    <t>Стекло в упаковке G-Rhino HD Ultra l iPhone 15 / 16 (330 glue)</t>
  </si>
  <si>
    <t>{"#",190a7469-3325-4d33-b5ec-28a63ac83b06,283:84f100155d46f6e511f09d4fbebb5be6}</t>
  </si>
  <si>
    <t>00-00001693</t>
  </si>
  <si>
    <t>Стекло в упаковке G-Rhino HD Ultra l iPhone 15 Pro (330 glue)</t>
  </si>
  <si>
    <t>iPhone 15 Pro</t>
  </si>
  <si>
    <t>{"#",190a7469-3325-4d33-b5ec-28a63ac83b06,283:84f100155d46f6e511f09d4fbed2fbfc}</t>
  </si>
  <si>
    <t>00-00001694</t>
  </si>
  <si>
    <t>Стекло в упаковке G-Rhino HD Ultra l iPhone 15 Pro Max (330 glue)</t>
  </si>
  <si>
    <t>{"#",190a7469-3325-4d33-b5ec-28a63ac83b06,283:84f100155d46f6e511f09d4fbefe4f28}</t>
  </si>
  <si>
    <t>00-00001695</t>
  </si>
  <si>
    <t>Стекло в упаковке G-Rhino HD Ultra l iPhone 16 Pro (330 glue)</t>
  </si>
  <si>
    <t>{"#",190a7469-3325-4d33-b5ec-28a63ac83b06,283:84f100155d46f6e511f09d4fbf18754c}</t>
  </si>
  <si>
    <t>00-00001696</t>
  </si>
  <si>
    <t>Стекло в упаковке G-Rhino HD Ultra l iPhone 16 Pro Max (330 glue)</t>
  </si>
  <si>
    <t>{"#",190a7469-3325-4d33-b5ec-28a63ac83b06,283:84f100155d46f6e511f09d4fbf316566}</t>
  </si>
  <si>
    <t>00-00001697</t>
  </si>
  <si>
    <t>Стекло в упаковке G-Rhino HD Ultra l Samsung S24 / S25</t>
  </si>
  <si>
    <t>{"#",190a7469-3325-4d33-b5ec-28a63ac83b06,283:84f100155d46f6e511f09d4fbf4b5cd2}</t>
  </si>
  <si>
    <t>00-00001698</t>
  </si>
  <si>
    <t>Стекло в упаковке G-Rhino HD Ultra l Samsung S24 Ultra</t>
  </si>
  <si>
    <t>{"#",190a7469-3325-4d33-b5ec-28a63ac83b06,283:84f100155d46f6e511f09d4fbf636124}</t>
  </si>
  <si>
    <t>00-00001699</t>
  </si>
  <si>
    <t>Стекло в упаковке G-Rhino HD Ultra l Samsung S24+ / S25+</t>
  </si>
  <si>
    <t>{"#",190a7469-3325-4d33-b5ec-28a63ac83b06,283:84f100155d46f6e511f09d4fbf807e8a}</t>
  </si>
  <si>
    <t>00-00001700</t>
  </si>
  <si>
    <t>Стекло в упаковке G-Rhino HD Ultra l Samsung S25 Edge</t>
  </si>
  <si>
    <t>{"#",190a7469-3325-4d33-b5ec-28a63ac83b06,283:84f100155d46f6e511f09d4fbf9b37fc}</t>
  </si>
  <si>
    <t>G-Rhino Антишпион в техпаке</t>
  </si>
  <si>
    <t>00-00001181</t>
  </si>
  <si>
    <t>Стекло G-Rhino Антишпион l iPhone 12 / 12 Pro</t>
  </si>
  <si>
    <t>{"#",190a7469-3325-4d33-b5ec-28a63ac83b06,283:84f100155d46f6e511f09d4f84cda466}</t>
  </si>
  <si>
    <t>00-00001182</t>
  </si>
  <si>
    <t>Стекло G-Rhino Антишпион l iPhone 12 Pro Max</t>
  </si>
  <si>
    <t>{"#",190a7469-3325-4d33-b5ec-28a63ac83b06,283:84f100155d46f6e511f09d4f84eb89a4}</t>
  </si>
  <si>
    <t>00-00001183</t>
  </si>
  <si>
    <t>Стекло G-Rhino Антишпион l iPhone 13 / 13 Pro / 14 / 16e</t>
  </si>
  <si>
    <t>{"#",190a7469-3325-4d33-b5ec-28a63ac83b06,283:84f100155d46f6e511f09d4f850aa6ea}</t>
  </si>
  <si>
    <t>00-00001185</t>
  </si>
  <si>
    <t>Стекло G-Rhino Антишпион l iPhone 14 Pro Max</t>
  </si>
  <si>
    <t>{"#",190a7469-3325-4d33-b5ec-28a63ac83b06,283:84f100155d46f6e511f09d4f854ad2ec}</t>
  </si>
  <si>
    <t>00-00001186</t>
  </si>
  <si>
    <t>Стекло G-Rhino Антишпион l iPhone 15</t>
  </si>
  <si>
    <t>{"#",190a7469-3325-4d33-b5ec-28a63ac83b06,283:84f100155d46f6e511f09d4f857082f8}</t>
  </si>
  <si>
    <t>00-00001189</t>
  </si>
  <si>
    <t>Стекло G-Rhino Антишпион l iPhone 15 Pro Max</t>
  </si>
  <si>
    <t>{"#",190a7469-3325-4d33-b5ec-28a63ac83b06,283:84f100155d46f6e511f09d4f85e6c58a}</t>
  </si>
  <si>
    <t>00-00001191</t>
  </si>
  <si>
    <t>Стекло G-Rhino Антишпион l iPhone 16 Plus (380 glue)</t>
  </si>
  <si>
    <t>{"#",190a7469-3325-4d33-b5ec-28a63ac83b06,283:84f100155d46f6e511f09d4f862ad2de}</t>
  </si>
  <si>
    <t>00-00001192</t>
  </si>
  <si>
    <t>Стекло G-Rhino Антишпион l iPhone 16 Pro (380 glue)</t>
  </si>
  <si>
    <t>{"#",190a7469-3325-4d33-b5ec-28a63ac83b06,283:84f100155d46f6e511f09d4f8645fd5c}</t>
  </si>
  <si>
    <t>00-00001906</t>
  </si>
  <si>
    <t>Стекло G-Rhino Антишпион l iPhone 17</t>
  </si>
  <si>
    <t>{"#",190a7469-3325-4d33-b5ec-28a63ac83b06,283:9f9800155d46f6e511f0a1f7b47cf778}</t>
  </si>
  <si>
    <t>00-00001907</t>
  </si>
  <si>
    <t>Стекло G-Rhino Антишпион l iPhone 17 Air</t>
  </si>
  <si>
    <t>{"#",190a7469-3325-4d33-b5ec-28a63ac83b06,283:9f9800155d46f6e511f0a1f7bea6fe56}</t>
  </si>
  <si>
    <t>00-00001908</t>
  </si>
  <si>
    <t>Стекло G-Rhino Антишпион l iPhone 17 Pro</t>
  </si>
  <si>
    <t>{"#",190a7469-3325-4d33-b5ec-28a63ac83b06,283:9f9800155d46f6e511f0a1f7c7e386c4}</t>
  </si>
  <si>
    <t>00-00001909</t>
  </si>
  <si>
    <t>Стекло G-Rhino Антишпион l iPhone 17 Pro Max</t>
  </si>
  <si>
    <t>{"#",190a7469-3325-4d33-b5ec-28a63ac83b06,283:9f9800155d46f6e511f0a1f7d612c336}</t>
  </si>
  <si>
    <t>00-00001194</t>
  </si>
  <si>
    <t>Стекло G-Rhino Антишпион l iPhone X / Xs / 11 Pro</t>
  </si>
  <si>
    <t>{"#",190a7469-3325-4d33-b5ec-28a63ac83b06,283:84f100155d46f6e511f09d4f86829280}</t>
  </si>
  <si>
    <t>00-00001206</t>
  </si>
  <si>
    <t>Стекло G-Rhino Антишпион l Samsung S22+ / S23+</t>
  </si>
  <si>
    <t>{"#",190a7469-3325-4d33-b5ec-28a63ac83b06,283:84f100155d46f6e511f09d4f884e4532}</t>
  </si>
  <si>
    <t>00-00001207</t>
  </si>
  <si>
    <t>Стекло G-Rhino Антишпион l Samsung S24</t>
  </si>
  <si>
    <t>{"#",190a7469-3325-4d33-b5ec-28a63ac83b06,283:84f100155d46f6e511f09d4f88706112}</t>
  </si>
  <si>
    <t>00-00001208</t>
  </si>
  <si>
    <t>Стекло G-Rhino Антишпион l Samsung S24 Ultra</t>
  </si>
  <si>
    <t>{"#",190a7469-3325-4d33-b5ec-28a63ac83b06,283:84f100155d46f6e511f09d4f888e5604}</t>
  </si>
  <si>
    <t>00-00001209</t>
  </si>
  <si>
    <t>Стекло G-Rhino Антишпион l Samsung S24+</t>
  </si>
  <si>
    <t>{"#",190a7469-3325-4d33-b5ec-28a63ac83b06,283:84f100155d46f6e511f09d4f88ae84b0}</t>
  </si>
  <si>
    <t>00-00001210</t>
  </si>
  <si>
    <t>Стекло G-Rhino Антишпион l Samsung S25</t>
  </si>
  <si>
    <t>{"#",190a7469-3325-4d33-b5ec-28a63ac83b06,283:84f100155d46f6e511f09d4f88d8e390}</t>
  </si>
  <si>
    <t>00-00001211</t>
  </si>
  <si>
    <t>Стекло G-Rhino Антишпион l Samsung S25 Ultra</t>
  </si>
  <si>
    <t>{"#",190a7469-3325-4d33-b5ec-28a63ac83b06,283:84f100155d46f6e511f09d4f8902e99c}</t>
  </si>
  <si>
    <t>00-00001212</t>
  </si>
  <si>
    <t>Стекло G-Rhino Антишпион l Samsung S25+</t>
  </si>
  <si>
    <t>{"#",190a7469-3325-4d33-b5ec-28a63ac83b06,283:84f100155d46f6e511f09d4f892b61c4}</t>
  </si>
  <si>
    <t>00-00001215</t>
  </si>
  <si>
    <t>Стекло G-Rhino Антишпион l Xiaomi Redmi 13C / Poco C65</t>
  </si>
  <si>
    <t>{"#",190a7469-3325-4d33-b5ec-28a63ac83b06,283:84f100155d46f6e511f09d4f89ad080a}</t>
  </si>
  <si>
    <t>00-00001216</t>
  </si>
  <si>
    <t>Стекло G-Rhino Антишпион l Xiaomi Redmi Note 12 / Poco X5</t>
  </si>
  <si>
    <t>{"#",190a7469-3325-4d33-b5ec-28a63ac83b06,283:84f100155d46f6e511f09d4f89d27b9e}</t>
  </si>
  <si>
    <t>00-00001217</t>
  </si>
  <si>
    <t>Стекло G-Rhino Антишпион l Xiaomi Redmi Note 12 Pro / Pro + / Poco X5 Pro</t>
  </si>
  <si>
    <t>{"#",190a7469-3325-4d33-b5ec-28a63ac83b06,283:84f100155d46f6e511f09d4f8a0af3d4}</t>
  </si>
  <si>
    <t>00-00001218</t>
  </si>
  <si>
    <t>Стекло G-Rhino Антишпион l Xiaomi Redmi Note 13 4G / Note 14</t>
  </si>
  <si>
    <t>{"#",190a7469-3325-4d33-b5ec-28a63ac83b06,283:84f100155d46f6e511f09d4f8a29ebfe}</t>
  </si>
  <si>
    <t>G-Rhino Антишпион в упаковке</t>
  </si>
  <si>
    <t>00-00001719</t>
  </si>
  <si>
    <t>Стекло в упаковке G-Rhino Антишпион l iPhone 13 Pro Max / 14 Plus</t>
  </si>
  <si>
    <t>{"#",190a7469-3325-4d33-b5ec-28a63ac83b06,283:84f100155d46f6e511f09d4fc1dce81c}</t>
  </si>
  <si>
    <t>00-00001720</t>
  </si>
  <si>
    <t>Стекло в упаковке G-Rhino Антишпион l iPhone 14 Pro</t>
  </si>
  <si>
    <t>{"#",190a7469-3325-4d33-b5ec-28a63ac83b06,283:84f100155d46f6e511f09d4fc1f69cbc}</t>
  </si>
  <si>
    <t>00-00001724</t>
  </si>
  <si>
    <t>Стекло в упаковке G-Rhino Антишпион l iPhone 15 Pro</t>
  </si>
  <si>
    <t>{"#",190a7469-3325-4d33-b5ec-28a63ac83b06,283:84f100155d46f6e511f09d4fc25f6bb6}</t>
  </si>
  <si>
    <t>00-00001728</t>
  </si>
  <si>
    <t>Стекло в упаковке G-Rhino Антишпион l iPhone X / Xs / 11 Pro</t>
  </si>
  <si>
    <t>{"#",190a7469-3325-4d33-b5ec-28a63ac83b06,283:84f100155d46f6e511f09d4fc2c3c25a}</t>
  </si>
  <si>
    <t>00-00001702</t>
  </si>
  <si>
    <t>Стекло в упаковке G-Rhino Антишпион 360° l iPhone 13 / 13 Pro / 14 / 16e</t>
  </si>
  <si>
    <t>{"#",190a7469-3325-4d33-b5ec-28a63ac83b06,283:84f100155d46f6e511f09d4fbfe0f756}</t>
  </si>
  <si>
    <t>00-00001703</t>
  </si>
  <si>
    <t>Стекло в упаковке G-Rhino Антишпион 360° l iPhone 13 Pro Max / 14 Plus</t>
  </si>
  <si>
    <t>{"#",190a7469-3325-4d33-b5ec-28a63ac83b06,283:84f100155d46f6e511f09d4fbffd6418}</t>
  </si>
  <si>
    <t>00-00001704</t>
  </si>
  <si>
    <t>Стекло в упаковке G-Rhino Антишпион 360° l iPhone 14 Pro</t>
  </si>
  <si>
    <t>{"#",190a7469-3325-4d33-b5ec-28a63ac83b06,283:84f100155d46f6e511f09d4fc01db63c}</t>
  </si>
  <si>
    <t>00-00001705</t>
  </si>
  <si>
    <t>Стекло в упаковке G-Rhino Антишпион 360° l iPhone 14 Pro Max</t>
  </si>
  <si>
    <t>{"#",190a7469-3325-4d33-b5ec-28a63ac83b06,283:84f100155d46f6e511f09d4fc040da90}</t>
  </si>
  <si>
    <t>00-00001706</t>
  </si>
  <si>
    <t>Стекло в упаковке G-Rhino Антишпион 360° l iPhone 15</t>
  </si>
  <si>
    <t>{"#",190a7469-3325-4d33-b5ec-28a63ac83b06,283:84f100155d46f6e511f09d4fc05fc1bc}</t>
  </si>
  <si>
    <t>00-00001707</t>
  </si>
  <si>
    <t>Стекло в упаковке G-Rhino Антишпион 360° l iPhone 15 Plus</t>
  </si>
  <si>
    <t>{"#",190a7469-3325-4d33-b5ec-28a63ac83b06,283:84f100155d46f6e511f09d4fc07a368c}</t>
  </si>
  <si>
    <t>00-00001708</t>
  </si>
  <si>
    <t>Стекло в упаковке G-Rhino Антишпион 360° l iPhone 15 Pro</t>
  </si>
  <si>
    <t>{"#",190a7469-3325-4d33-b5ec-28a63ac83b06,283:84f100155d46f6e511f09d4fc092035c}</t>
  </si>
  <si>
    <t>00-00001709</t>
  </si>
  <si>
    <t>Стекло в упаковке G-Rhino Антишпион 360° l iPhone 15 Pro Max</t>
  </si>
  <si>
    <t>{"#",190a7469-3325-4d33-b5ec-28a63ac83b06,283:84f100155d46f6e511f09d4fc0ac6742}</t>
  </si>
  <si>
    <t>00-00001710</t>
  </si>
  <si>
    <t>Стекло в упаковке G-Rhino Антишпион 360° l iPhone 16</t>
  </si>
  <si>
    <t>{"#",190a7469-3325-4d33-b5ec-28a63ac83b06,283:84f100155d46f6e511f09d4fc0c6c452}</t>
  </si>
  <si>
    <t>00-00001711</t>
  </si>
  <si>
    <t>Стекло в упаковке G-Rhino Антишпион 360° l iPhone 16 Plus</t>
  </si>
  <si>
    <t>{"#",190a7469-3325-4d33-b5ec-28a63ac83b06,283:84f100155d46f6e511f09d4fc0df7bd2}</t>
  </si>
  <si>
    <t>00-00001712</t>
  </si>
  <si>
    <t>Стекло в упаковке G-Rhino Антишпион 360° l iPhone 16 Pro</t>
  </si>
  <si>
    <t>{"#",190a7469-3325-4d33-b5ec-28a63ac83b06,283:84f100155d46f6e511f09d4fc0f9ad68}</t>
  </si>
  <si>
    <t>00-00001713</t>
  </si>
  <si>
    <t>Стекло в упаковке G-Rhino Антишпион 360° l iPhone 16 Pro Max</t>
  </si>
  <si>
    <t>{"#",190a7469-3325-4d33-b5ec-28a63ac83b06,283:84f100155d46f6e511f09d4fc11562c4}</t>
  </si>
  <si>
    <t>00-00000670</t>
  </si>
  <si>
    <t>Пленка PMMA в упаковке AirTag</t>
  </si>
  <si>
    <t>{"#",190a7469-3325-4d33-b5ec-28a63ac83b06,283:84f100155d46f6e511f09d4f45a7e508}</t>
  </si>
  <si>
    <t>00-00000671</t>
  </si>
  <si>
    <t>Пленка PMMA в упаковке Apple Watch 1/2/3 38mm</t>
  </si>
  <si>
    <t>{"#",190a7469-3325-4d33-b5ec-28a63ac83b06,283:84f100155d46f6e511f09d4f45c224d6}</t>
  </si>
  <si>
    <t>00-00000672</t>
  </si>
  <si>
    <t>Пленка PMMA в упаковке Apple Watch 1/2/3 42mm</t>
  </si>
  <si>
    <t>{"#",190a7469-3325-4d33-b5ec-28a63ac83b06,283:84f100155d46f6e511f09d4f45db63d8}</t>
  </si>
  <si>
    <t>00-00000673</t>
  </si>
  <si>
    <t>Пленка PMMA в упаковке Apple Watch 10 42mm</t>
  </si>
  <si>
    <t>{"#",190a7469-3325-4d33-b5ec-28a63ac83b06,283:84f100155d46f6e511f09d4f45f7b66e}</t>
  </si>
  <si>
    <t>00-00000677</t>
  </si>
  <si>
    <t>Пленка PMMA в упаковке Apple Watch 7/8/9 41mm</t>
  </si>
  <si>
    <t>{"#",190a7469-3325-4d33-b5ec-28a63ac83b06,283:84f100155d46f6e511f09d4f467000ec}</t>
  </si>
  <si>
    <t>00-00000678</t>
  </si>
  <si>
    <t>Пленка PMMA в упаковке Apple Watch 7/8/9 45mm</t>
  </si>
  <si>
    <t>{"#",190a7469-3325-4d33-b5ec-28a63ac83b06,283:84f100155d46f6e511f09d4f468d74b0}</t>
  </si>
  <si>
    <t>00-00000679</t>
  </si>
  <si>
    <t>Пленка PMMA в упаковке Apple Watch Ultra 1/2 49mm</t>
  </si>
  <si>
    <t>{"#",190a7469-3325-4d33-b5ec-28a63ac83b06,283:84f100155d46f6e511f09d4f46a707b8}</t>
  </si>
  <si>
    <t>00-00000680</t>
  </si>
  <si>
    <t>Пленка PMMA в упаковке Huawei Band 8</t>
  </si>
  <si>
    <t>{"#",190a7469-3325-4d33-b5ec-28a63ac83b06,283:84f100155d46f6e511f09d4f46c1bba8}</t>
  </si>
  <si>
    <t>00-00000681</t>
  </si>
  <si>
    <t>Пленка PMMA в упаковке Huawei Band 9</t>
  </si>
  <si>
    <t>{"#",190a7469-3325-4d33-b5ec-28a63ac83b06,283:84f100155d46f6e511f09d4f46dcb2f0}</t>
  </si>
  <si>
    <t>00-00000682</t>
  </si>
  <si>
    <t>Пленка PMMA в упаковке Huawei Watch Fit 3</t>
  </si>
  <si>
    <t>{"#",190a7469-3325-4d33-b5ec-28a63ac83b06,283:84f100155d46f6e511f09d4f46f6403a}</t>
  </si>
  <si>
    <t>00-00000683</t>
  </si>
  <si>
    <t>Пленка PMMA в упаковке Huawei Watch GT 3 Pro 43mm</t>
  </si>
  <si>
    <t>{"#",190a7469-3325-4d33-b5ec-28a63ac83b06,283:84f100155d46f6e511f09d4f47107ffe}</t>
  </si>
  <si>
    <t>00-00000684</t>
  </si>
  <si>
    <t>Пленка PMMA в упаковке Huawei Watch GT 3 Pro 46mm</t>
  </si>
  <si>
    <t>{"#",190a7469-3325-4d33-b5ec-28a63ac83b06,283:84f100155d46f6e511f09d4f472a5582}</t>
  </si>
  <si>
    <t>00-00000685</t>
  </si>
  <si>
    <t>Пленка PMMA в упаковке Huawei Watch GT 4 41mm</t>
  </si>
  <si>
    <t>{"#",190a7469-3325-4d33-b5ec-28a63ac83b06,283:84f100155d46f6e511f09d4f4747894a}</t>
  </si>
  <si>
    <t>00-00000686</t>
  </si>
  <si>
    <t>Пленка PMMA в упаковке Huawei Watch GT 4 46mm</t>
  </si>
  <si>
    <t>{"#",190a7469-3325-4d33-b5ec-28a63ac83b06,283:84f100155d46f6e511f09d4f476178aa}</t>
  </si>
  <si>
    <t>00-00000687</t>
  </si>
  <si>
    <t>Пленка PMMA в упаковке Huawei Watch GT 5 41mm</t>
  </si>
  <si>
    <t>{"#",190a7469-3325-4d33-b5ec-28a63ac83b06,283:84f100155d46f6e511f09d4f477e2a54}</t>
  </si>
  <si>
    <t>00-00000688</t>
  </si>
  <si>
    <t>Пленка PMMA в упаковке Huawei Watch GT 5 46mm</t>
  </si>
  <si>
    <t>{"#",190a7469-3325-4d33-b5ec-28a63ac83b06,283:84f100155d46f6e511f09d4f47aad734}</t>
  </si>
  <si>
    <t>00-00000689</t>
  </si>
  <si>
    <t>Пленка PMMA в упаковке Huawei Watch GT 5 Pro 42mm</t>
  </si>
  <si>
    <t>{"#",190a7469-3325-4d33-b5ec-28a63ac83b06,283:84f100155d46f6e511f09d4f47c7344c}</t>
  </si>
  <si>
    <t>00-00000690</t>
  </si>
  <si>
    <t>Пленка PMMA в упаковке Huawei Watch GT 5 Pro 46mm</t>
  </si>
  <si>
    <t>{"#",190a7469-3325-4d33-b5ec-28a63ac83b06,283:84f100155d46f6e511f09d4f47e52f92}</t>
  </si>
  <si>
    <t>00-00000691</t>
  </si>
  <si>
    <t>Пленка PMMA в упаковке Redmi Watch 3 Active</t>
  </si>
  <si>
    <t>{"#",190a7469-3325-4d33-b5ec-28a63ac83b06,283:84f100155d46f6e511f09d4f4800c400}</t>
  </si>
  <si>
    <t>00-00000692</t>
  </si>
  <si>
    <t>Пленка PMMA в упаковке Redmi Watch 4</t>
  </si>
  <si>
    <t>{"#",190a7469-3325-4d33-b5ec-28a63ac83b06,283:84f100155d46f6e511f09d4f481cc484}</t>
  </si>
  <si>
    <t>00-00000693</t>
  </si>
  <si>
    <t>Пленка PMMA в упаковке Redmi Watch 5 Active</t>
  </si>
  <si>
    <t>{"#",190a7469-3325-4d33-b5ec-28a63ac83b06,283:84f100155d46f6e511f09d4f48384466}</t>
  </si>
  <si>
    <t>00-00000694</t>
  </si>
  <si>
    <t>Пленка PMMA в упаковке Samsung Galaxy Fit3</t>
  </si>
  <si>
    <t>{"#",190a7469-3325-4d33-b5ec-28a63ac83b06,283:84f100155d46f6e511f09d4f4851be8c}</t>
  </si>
  <si>
    <t>00-00000695</t>
  </si>
  <si>
    <t>Пленка PMMA в упаковке Samsung Galaxy Watch7 40mm</t>
  </si>
  <si>
    <t>{"#",190a7469-3325-4d33-b5ec-28a63ac83b06,283:84f100155d46f6e511f09d4f4875d43e}</t>
  </si>
  <si>
    <t>00-00000696</t>
  </si>
  <si>
    <t>Пленка PMMA в упаковке Samsung Galaxy Watch7 44mm</t>
  </si>
  <si>
    <t>{"#",190a7469-3325-4d33-b5ec-28a63ac83b06,283:84f100155d46f6e511f09d4f48972418}</t>
  </si>
  <si>
    <t>G-Rhino прозрачные стекла для планшетов</t>
  </si>
  <si>
    <t>00-00001220</t>
  </si>
  <si>
    <t>Стекло Honor Pad 9 12.1' в упаковке</t>
  </si>
  <si>
    <t>{"#",190a7469-3325-4d33-b5ec-28a63ac83b06,283:84f100155d46f6e511f09d4f8a881a62}</t>
  </si>
  <si>
    <t>00-00001221</t>
  </si>
  <si>
    <t>Стекло Honor Pad X8 10.1 в упаковке</t>
  </si>
  <si>
    <t>{"#",190a7469-3325-4d33-b5ec-28a63ac83b06,283:84f100155d46f6e511f09d4f8aa8e616}</t>
  </si>
  <si>
    <t>00-00001222</t>
  </si>
  <si>
    <t>Стекло Honor Pad X8 Lite 9.7 в упаковке</t>
  </si>
  <si>
    <t>{"#",190a7469-3325-4d33-b5ec-28a63ac83b06,283:84f100155d46f6e511f09d4f8ad93d16}</t>
  </si>
  <si>
    <t>00-00001223</t>
  </si>
  <si>
    <t>Стекло Honor Pad X8 Pro / X9 / X9a 11.5' в упаковке</t>
  </si>
  <si>
    <t>{"#",190a7469-3325-4d33-b5ec-28a63ac83b06,283:84f100155d46f6e511f09d4f8afa1b4e}</t>
  </si>
  <si>
    <t>00-00001224</t>
  </si>
  <si>
    <t>Стекло Huawei MatePad 10.4 2022 в упаковке</t>
  </si>
  <si>
    <t>{"#",190a7469-3325-4d33-b5ec-28a63ac83b06,283:84f100155d46f6e511f09d4f8b24c6c8}</t>
  </si>
  <si>
    <t>00-00001225</t>
  </si>
  <si>
    <t>Стекло Huawei MatePad C7 10.95 в упаковке</t>
  </si>
  <si>
    <t>{"#",190a7469-3325-4d33-b5ec-28a63ac83b06,283:84f100155d46f6e511f09d4f8b4a1018}</t>
  </si>
  <si>
    <t>00-00001226</t>
  </si>
  <si>
    <t>Стекло Huawei MatePad Pro 11.0 2022 в упаковке</t>
  </si>
  <si>
    <t>{"#",190a7469-3325-4d33-b5ec-28a63ac83b06,283:84f100155d46f6e511f09d4f8b72334a}</t>
  </si>
  <si>
    <t>00-00001227</t>
  </si>
  <si>
    <t>Стекло Huawei MatePad SE 10.4 в упаковке</t>
  </si>
  <si>
    <t>{"#",190a7469-3325-4d33-b5ec-28a63ac83b06,283:84f100155d46f6e511f09d4f8b943ddc}</t>
  </si>
  <si>
    <t>00-00001228</t>
  </si>
  <si>
    <t>Стекло Huawei MatePad SE 11 в упаковке</t>
  </si>
  <si>
    <t>{"#",190a7469-3325-4d33-b5ec-28a63ac83b06,283:84f100155d46f6e511f09d4f8bb6e24c}</t>
  </si>
  <si>
    <t>00-00001229</t>
  </si>
  <si>
    <t>Стекло Huawei MatePad T10 9.7 в упаковке</t>
  </si>
  <si>
    <t>{"#",190a7469-3325-4d33-b5ec-28a63ac83b06,283:84f100155d46f6e511f09d4f8bdb2792}</t>
  </si>
  <si>
    <t>00-00001230</t>
  </si>
  <si>
    <t>Стекло Huawei MatePad T10s 10.1 в упаковке</t>
  </si>
  <si>
    <t>{"#",190a7469-3325-4d33-b5ec-28a63ac83b06,283:84f100155d46f6e511f09d4f8c078bfc}</t>
  </si>
  <si>
    <t>00-00001231</t>
  </si>
  <si>
    <t>Стекло Huawei MatePad T8 8.0 в упаковке</t>
  </si>
  <si>
    <t>{"#",190a7469-3325-4d33-b5ec-28a63ac83b06,283:84f100155d46f6e511f09d4f8c308d5e}</t>
  </si>
  <si>
    <t>00-00001234</t>
  </si>
  <si>
    <t>Стекло iPad 2/3/4 9.7'</t>
  </si>
  <si>
    <t>{"#",190a7469-3325-4d33-b5ec-28a63ac83b06,283:84f100155d46f6e511f09d4f8cc09c96}</t>
  </si>
  <si>
    <t>00-00001235</t>
  </si>
  <si>
    <t>Стекло iPad 5/6 / Air 1/2 / Pro 9.7'</t>
  </si>
  <si>
    <t>{"#",190a7469-3325-4d33-b5ec-28a63ac83b06,283:84f100155d46f6e511f09d4f8cee71d4}</t>
  </si>
  <si>
    <t>00-00001236</t>
  </si>
  <si>
    <t>Стекло iPad 7/8/9 10.2'</t>
  </si>
  <si>
    <t>{"#",190a7469-3325-4d33-b5ec-28a63ac83b06,283:84f100155d46f6e511f09d4f8d0eb75a}</t>
  </si>
  <si>
    <t>00-00001239</t>
  </si>
  <si>
    <t>Стекло iPad Mini 1/2/3 7.9'</t>
  </si>
  <si>
    <t>{"#",190a7469-3325-4d33-b5ec-28a63ac83b06,283:84f100155d46f6e511f09d4f8d5a9e5e}</t>
  </si>
  <si>
    <t>00-00001240</t>
  </si>
  <si>
    <t>Стекло iPad Mini 4/5 7.9'</t>
  </si>
  <si>
    <t>{"#",190a7469-3325-4d33-b5ec-28a63ac83b06,283:84f100155d46f6e511f09d4f8d75c260}</t>
  </si>
  <si>
    <t>00-00001241</t>
  </si>
  <si>
    <t>Стекло iPad Mini 6/7 8,3'</t>
  </si>
  <si>
    <t>{"#",190a7469-3325-4d33-b5ec-28a63ac83b06,283:84f100155d46f6e511f09d4f8d9048b0}</t>
  </si>
  <si>
    <t>00-00001242</t>
  </si>
  <si>
    <t>Стекло iPad Mini 6/7 8,3' в упаковке</t>
  </si>
  <si>
    <t>{"#",190a7469-3325-4d33-b5ec-28a63ac83b06,283:84f100155d46f6e511f09d4f8da9899c}</t>
  </si>
  <si>
    <t>00-00001243</t>
  </si>
  <si>
    <t>Стекло iPad Pro 10.5 / Air 3 (2019) 10.5'</t>
  </si>
  <si>
    <t>{"#",190a7469-3325-4d33-b5ec-28a63ac83b06,283:84f100155d46f6e511f09d4f8dc318da}</t>
  </si>
  <si>
    <t>00-00001245</t>
  </si>
  <si>
    <t>Стекло iPad Pro 11 (2024) 11'</t>
  </si>
  <si>
    <t>{"#",190a7469-3325-4d33-b5ec-28a63ac83b06,283:84f100155d46f6e511f09d4f8df59c2e}</t>
  </si>
  <si>
    <t>00-00001246</t>
  </si>
  <si>
    <t>Стекло iPad Pro 11 (2024) 11' в упаковке</t>
  </si>
  <si>
    <t>{"#",190a7469-3325-4d33-b5ec-28a63ac83b06,283:84f100155d46f6e511f09d4f8e0e57fa}</t>
  </si>
  <si>
    <t>00-00001247</t>
  </si>
  <si>
    <t>Стекло iPad Pro 12.9 (2016-2017) с кнопкой 12.9'</t>
  </si>
  <si>
    <t>{"#",190a7469-3325-4d33-b5ec-28a63ac83b06,283:84f100155d46f6e511f09d4f8e276a24}</t>
  </si>
  <si>
    <t>00-00001248</t>
  </si>
  <si>
    <t>Стекло iPad Pro 12.9 (2018-2022) без кнопки 12.9'</t>
  </si>
  <si>
    <t>{"#",190a7469-3325-4d33-b5ec-28a63ac83b06,283:84f100155d46f6e511f09d4f8e42fd02}</t>
  </si>
  <si>
    <t>00-00001249</t>
  </si>
  <si>
    <t>Стекло iPad Pro 13 / Air 13 (2024-2025)</t>
  </si>
  <si>
    <t>{"#",190a7469-3325-4d33-b5ec-28a63ac83b06,283:84f100155d46f6e511f09d4f8e5d973e}</t>
  </si>
  <si>
    <t>00-00001262</t>
  </si>
  <si>
    <t>Стекло Lenovo Tab K10 10.3 в упаковке</t>
  </si>
  <si>
    <t>{"#",190a7469-3325-4d33-b5ec-28a63ac83b06,283:84f100155d46f6e511f09d4f8fd96d40}</t>
  </si>
  <si>
    <t>00-00001263</t>
  </si>
  <si>
    <t>Стекло Lenovo Tab M10 10.1 в упаковке</t>
  </si>
  <si>
    <t>{"#",190a7469-3325-4d33-b5ec-28a63ac83b06,283:84f100155d46f6e511f09d4f8ff666ac}</t>
  </si>
  <si>
    <t>00-00001264</t>
  </si>
  <si>
    <t>Стекло Lenovo Tab M10 Plus 10.61 в упаковке</t>
  </si>
  <si>
    <t>{"#",190a7469-3325-4d33-b5ec-28a63ac83b06,283:84f100155d46f6e511f09d4f9010d564}</t>
  </si>
  <si>
    <t>00-00001265</t>
  </si>
  <si>
    <t>Стекло Lenovo Tab M8 8.0 в упаковке</t>
  </si>
  <si>
    <t>{"#",190a7469-3325-4d33-b5ec-28a63ac83b06,283:84f100155d46f6e511f09d4f902c0794}</t>
  </si>
  <si>
    <t>00-00001267</t>
  </si>
  <si>
    <t>Стекло Nintendo Lite 5.5 в упаковке</t>
  </si>
  <si>
    <t>{"#",190a7469-3325-4d33-b5ec-28a63ac83b06,283:84f100155d46f6e511f09d4f905fa554}</t>
  </si>
  <si>
    <t>00-00001268</t>
  </si>
  <si>
    <t>Стекло Nintendo OLED 7.0 в упаковке</t>
  </si>
  <si>
    <t>{"#",190a7469-3325-4d33-b5ec-28a63ac83b06,283:84f100155d46f6e511f09d4f90794bf8}</t>
  </si>
  <si>
    <t>00-00001269</t>
  </si>
  <si>
    <t>Стекло Nintendo Switch 6.2 в упаковке</t>
  </si>
  <si>
    <t>{"#",190a7469-3325-4d33-b5ec-28a63ac83b06,283:84f100155d46f6e511f09d4f9092583c}</t>
  </si>
  <si>
    <t>00-00001270</t>
  </si>
  <si>
    <t>Стекло Realme Pad 10.4 в упаковке</t>
  </si>
  <si>
    <t>{"#",190a7469-3325-4d33-b5ec-28a63ac83b06,283:84f100155d46f6e511f09d4f90ae03b6}</t>
  </si>
  <si>
    <t>00-00001271</t>
  </si>
  <si>
    <t>Стекло Realme Pad Mini 2022 8.7 в упаковке</t>
  </si>
  <si>
    <t>{"#",190a7469-3325-4d33-b5ec-28a63ac83b06,283:84f100155d46f6e511f09d4f90ca95ee}</t>
  </si>
  <si>
    <t>00-00001272</t>
  </si>
  <si>
    <t>Стекло Samsung Galaxy Tab A7 Lite 8.7 в упаковке</t>
  </si>
  <si>
    <t>{"#",190a7469-3325-4d33-b5ec-28a63ac83b06,283:84f100155d46f6e511f09d4f90e51a4a}</t>
  </si>
  <si>
    <t>00-00001273</t>
  </si>
  <si>
    <t>Стекло Samsung Galaxy Tab A8 10.5 в упаковке</t>
  </si>
  <si>
    <t>{"#",190a7469-3325-4d33-b5ec-28a63ac83b06,283:84f100155d46f6e511f09d4f90ff8c68}</t>
  </si>
  <si>
    <t>00-00001405</t>
  </si>
  <si>
    <t>Стекло Xiaomi Pad 5 / 5 Pro 11.0 в упаковке</t>
  </si>
  <si>
    <t>{"#",190a7469-3325-4d33-b5ec-28a63ac83b06,283:84f100155d46f6e511f09d4fa07f7252}</t>
  </si>
  <si>
    <t>00-00001406</t>
  </si>
  <si>
    <t>Стекло Xiaomi Pad 6 / 6 Pro 11' в упаковке</t>
  </si>
  <si>
    <t>{"#",190a7469-3325-4d33-b5ec-28a63ac83b06,283:84f100155d46f6e511f09d4fa09b7182}</t>
  </si>
  <si>
    <t>00-00001407</t>
  </si>
  <si>
    <t>Стекло Xiaomi Pad 6S Pro / 7S Pro 12.4' - 12.5' в упаковке</t>
  </si>
  <si>
    <t>{"#",190a7469-3325-4d33-b5ec-28a63ac83b06,283:84f100155d46f6e511f09d4fa0b5636c}</t>
  </si>
  <si>
    <t>00-00001409</t>
  </si>
  <si>
    <t>Стекло Xiaomi Pad 7 Ultra 14' в упаковке</t>
  </si>
  <si>
    <t>{"#",190a7469-3325-4d33-b5ec-28a63ac83b06,283:84f100155d46f6e511f09d4fa0eb6732}</t>
  </si>
  <si>
    <t>00-00001410</t>
  </si>
  <si>
    <t>Стекло Xiaomi Poco Pad / Redmi Pad Pro 5G 12.1' в упаковке</t>
  </si>
  <si>
    <t>{"#",190a7469-3325-4d33-b5ec-28a63ac83b06,283:84f100155d46f6e511f09d4fa1060542}</t>
  </si>
  <si>
    <t>00-00001411</t>
  </si>
  <si>
    <t>Стекло Xiaomi Redmi Pad 10.61 в упаковке</t>
  </si>
  <si>
    <t>{"#",190a7469-3325-4d33-b5ec-28a63ac83b06,283:84f100155d46f6e511f09d4fa120d822}</t>
  </si>
  <si>
    <t>00-00001278</t>
  </si>
  <si>
    <t>Стекло Veason l Google Pixel 6a / 7a</t>
  </si>
  <si>
    <t>{"#",190a7469-3325-4d33-b5ec-28a63ac83b06,283:84f100155d46f6e511f09d4f9181395c}</t>
  </si>
  <si>
    <t>00-00001279</t>
  </si>
  <si>
    <t>Стекло Veason l Google Pixel 7</t>
  </si>
  <si>
    <t>{"#",190a7469-3325-4d33-b5ec-28a63ac83b06,283:84f100155d46f6e511f09d4f91a56980}</t>
  </si>
  <si>
    <t>00-00001284</t>
  </si>
  <si>
    <t>Стекло Veason l Honor 50 Lite / Huawei Nova 8i</t>
  </si>
  <si>
    <t>{"#",190a7469-3325-4d33-b5ec-28a63ac83b06,283:84f100155d46f6e511f09d4f92468c5c}</t>
  </si>
  <si>
    <t>00-00001288</t>
  </si>
  <si>
    <t>Стекло Veason l Honor X8</t>
  </si>
  <si>
    <t>{"#",190a7469-3325-4d33-b5ec-28a63ac83b06,283:84f100155d46f6e511f09d4f92ae397e}</t>
  </si>
  <si>
    <t>00-00001289</t>
  </si>
  <si>
    <t>Стекло Veason l Honor X8b / X8c</t>
  </si>
  <si>
    <t>{"#",190a7469-3325-4d33-b5ec-28a63ac83b06,283:84f100155d46f6e511f09d4f92c61030}</t>
  </si>
  <si>
    <t>00-00001291</t>
  </si>
  <si>
    <t>Стекло Veason l Huawei Nova 11</t>
  </si>
  <si>
    <t>{"#",190a7469-3325-4d33-b5ec-28a63ac83b06,283:84f100155d46f6e511f09d4f92ff4ada}</t>
  </si>
  <si>
    <t>00-00001292</t>
  </si>
  <si>
    <t>Стекло Veason l Huawei P40 Lite / Honor 9c / Y7p</t>
  </si>
  <si>
    <t>{"#",190a7469-3325-4d33-b5ec-28a63ac83b06,283:84f100155d46f6e511f09d4f931b0324}</t>
  </si>
  <si>
    <t>00-00001295</t>
  </si>
  <si>
    <t>Стекло Veason l Infinix Hot 10 Play / Hot 11 Play / Hot 10S</t>
  </si>
  <si>
    <t>{"#",190a7469-3325-4d33-b5ec-28a63ac83b06,283:84f100155d46f6e511f09d4f938018ae}</t>
  </si>
  <si>
    <t>00-00001296</t>
  </si>
  <si>
    <t>Стекло Veason l Infinix Hot 12 Play / Hot 20 Play / Hot 30 Play</t>
  </si>
  <si>
    <t>{"#",190a7469-3325-4d33-b5ec-28a63ac83b06,283:84f100155d46f6e511f09d4f93a0e034}</t>
  </si>
  <si>
    <t>00-00001297</t>
  </si>
  <si>
    <t>Стекло Veason l Infinix Hot 50 4G</t>
  </si>
  <si>
    <t>{"#",190a7469-3325-4d33-b5ec-28a63ac83b06,283:84f100155d46f6e511f09d4f93c7089a}</t>
  </si>
  <si>
    <t>00-00001299</t>
  </si>
  <si>
    <t>Стекло Veason l Infinix Note 10 / Note 10 Pro / Note 11 Pro</t>
  </si>
  <si>
    <t>{"#",190a7469-3325-4d33-b5ec-28a63ac83b06,283:84f100155d46f6e511f09d4f9400f85c}</t>
  </si>
  <si>
    <t>00-00001301</t>
  </si>
  <si>
    <t>Стекло Veason l iPhone 12 / 12 Pro</t>
  </si>
  <si>
    <t>{"#",190a7469-3325-4d33-b5ec-28a63ac83b06,283:84f100155d46f6e511f09d4f94376f5e}</t>
  </si>
  <si>
    <t>00-00001302</t>
  </si>
  <si>
    <t>Стекло Veason l iPhone 12 Mini</t>
  </si>
  <si>
    <t>{"#",190a7469-3325-4d33-b5ec-28a63ac83b06,283:84f100155d46f6e511f09d4f94558a5c}</t>
  </si>
  <si>
    <t>00-00001303</t>
  </si>
  <si>
    <t>Стекло Veason l iPhone 12 Pro Max</t>
  </si>
  <si>
    <t>{"#",190a7469-3325-4d33-b5ec-28a63ac83b06,283:84f100155d46f6e511f09d4f947009d6}</t>
  </si>
  <si>
    <t>00-00001304</t>
  </si>
  <si>
    <t>Стекло Veason l iPhone 13 / 13 Pro / 14 / 16e</t>
  </si>
  <si>
    <t>{"#",190a7469-3325-4d33-b5ec-28a63ac83b06,283:84f100155d46f6e511f09d4f94978e3e}</t>
  </si>
  <si>
    <t>00-00001305</t>
  </si>
  <si>
    <t>Стекло Veason l iPhone 13 Mini</t>
  </si>
  <si>
    <t>{"#",190a7469-3325-4d33-b5ec-28a63ac83b06,283:84f100155d46f6e511f09d4f94bb8a28}</t>
  </si>
  <si>
    <t>00-00001306</t>
  </si>
  <si>
    <t>Стекло Veason l iPhone 13 Pro Max / 14 Plus</t>
  </si>
  <si>
    <t>{"#",190a7469-3325-4d33-b5ec-28a63ac83b06,283:84f100155d46f6e511f09d4f94d84668}</t>
  </si>
  <si>
    <t>00-00001308</t>
  </si>
  <si>
    <t>Стекло Veason l iPhone 14 Pro Max</t>
  </si>
  <si>
    <t>{"#",190a7469-3325-4d33-b5ec-28a63ac83b06,283:84f100155d46f6e511f09d4f9516c848}</t>
  </si>
  <si>
    <t>00-00001309</t>
  </si>
  <si>
    <t>Стекло Veason l iPhone 6/6s (белая рамка)</t>
  </si>
  <si>
    <t>{"#",190a7469-3325-4d33-b5ec-28a63ac83b06,283:84f100155d46f6e511f09d4f95327fb6}</t>
  </si>
  <si>
    <t>00-00001310</t>
  </si>
  <si>
    <t>Стекло Veason l iPhone 6/6s (черная рамка)</t>
  </si>
  <si>
    <t>{"#",190a7469-3325-4d33-b5ec-28a63ac83b06,283:84f100155d46f6e511f09d4f954d76cc}</t>
  </si>
  <si>
    <t>00-00001311</t>
  </si>
  <si>
    <t>Стекло Veason l iPhone 6/6s Plus (белая рамка)</t>
  </si>
  <si>
    <t>{"#",190a7469-3325-4d33-b5ec-28a63ac83b06,283:84f100155d46f6e511f09d4f956e83da}</t>
  </si>
  <si>
    <t>00-00001312</t>
  </si>
  <si>
    <t>Стекло Veason l iPhone 6/6s Plus (черная рамка)</t>
  </si>
  <si>
    <t>{"#",190a7469-3325-4d33-b5ec-28a63ac83b06,283:84f100155d46f6e511f09d4f95920544}</t>
  </si>
  <si>
    <t>00-00001313</t>
  </si>
  <si>
    <t>Стекло Veason l iPhone 7/8 (белая рамка)</t>
  </si>
  <si>
    <t>{"#",190a7469-3325-4d33-b5ec-28a63ac83b06,283:84f100155d46f6e511f09d4f95b89060}</t>
  </si>
  <si>
    <t>00-00001314</t>
  </si>
  <si>
    <t>Стекло Veason l iPhone 7/8 (черная рамка)</t>
  </si>
  <si>
    <t>{"#",190a7469-3325-4d33-b5ec-28a63ac83b06,283:84f100155d46f6e511f09d4f95dd768c}</t>
  </si>
  <si>
    <t>00-00001315</t>
  </si>
  <si>
    <t>Стекло Veason l iPhone 7/8 Plus (белая рамка)</t>
  </si>
  <si>
    <t>{"#",190a7469-3325-4d33-b5ec-28a63ac83b06,283:84f100155d46f6e511f09d4f9602fc5e}</t>
  </si>
  <si>
    <t>00-00001316</t>
  </si>
  <si>
    <t>Стекло Veason l iPhone 7/8 Plus (черная рамка)</t>
  </si>
  <si>
    <t>{"#",190a7469-3325-4d33-b5ec-28a63ac83b06,283:84f100155d46f6e511f09d4f9629e2ce}</t>
  </si>
  <si>
    <t>00-00001317</t>
  </si>
  <si>
    <t>Стекло Veason l iPhone Xr / 11</t>
  </si>
  <si>
    <t>{"#",190a7469-3325-4d33-b5ec-28a63ac83b06,283:84f100155d46f6e511f09d4f96442aa8}</t>
  </si>
  <si>
    <t>00-00001318</t>
  </si>
  <si>
    <t>Стекло Veason l iPhone Xs / 11 Pro</t>
  </si>
  <si>
    <t>{"#",190a7469-3325-4d33-b5ec-28a63ac83b06,283:84f100155d46f6e511f09d4f96657f64}</t>
  </si>
  <si>
    <t>00-00001319</t>
  </si>
  <si>
    <t>Стекло Veason l iPhone Xs Max / 11 Pro Max</t>
  </si>
  <si>
    <t>{"#",190a7469-3325-4d33-b5ec-28a63ac83b06,283:84f100155d46f6e511f09d4f967f56d2}</t>
  </si>
  <si>
    <t>00-00001323</t>
  </si>
  <si>
    <t>Стекло Veason l Realme 5 / C3 / C11 / C12 / C15 / C20/C21/C25</t>
  </si>
  <si>
    <t>{"#",190a7469-3325-4d33-b5ec-28a63ac83b06,283:84f100155d46f6e511f09d4f96e6bc00}</t>
  </si>
  <si>
    <t>00-00001324</t>
  </si>
  <si>
    <t>Стекло Veason l Realme 8i / 7i / OPPO A53/A54/A55</t>
  </si>
  <si>
    <t>{"#",190a7469-3325-4d33-b5ec-28a63ac83b06,283:84f100155d46f6e511f09d4f970e4bee}</t>
  </si>
  <si>
    <t>00-00001325</t>
  </si>
  <si>
    <t>Стекло Veason l Realme 9 Pro / 9i</t>
  </si>
  <si>
    <t>{"#",190a7469-3325-4d33-b5ec-28a63ac83b06,283:84f100155d46f6e511f09d4f9727fbac}</t>
  </si>
  <si>
    <t>00-00001326</t>
  </si>
  <si>
    <t>Стекло Veason l Realme C53 / C51 / Narzo N53</t>
  </si>
  <si>
    <t>{"#",190a7469-3325-4d33-b5ec-28a63ac83b06,283:84f100155d46f6e511f09d4f974753da}</t>
  </si>
  <si>
    <t>00-00001327</t>
  </si>
  <si>
    <t>Стекло Veason l Realme C55 / Narzo N55</t>
  </si>
  <si>
    <t>{"#",190a7469-3325-4d33-b5ec-28a63ac83b06,283:84f100155d46f6e511f09d4f976ee0c6}</t>
  </si>
  <si>
    <t>00-00001330</t>
  </si>
  <si>
    <t>Стекло Veason l Realme GT Neo2 / OnePlus 9RT</t>
  </si>
  <si>
    <t>{"#",190a7469-3325-4d33-b5ec-28a63ac83b06,283:84f100155d46f6e511f09d4f97dc50c0}</t>
  </si>
  <si>
    <t>00-00001333</t>
  </si>
  <si>
    <t>Стекло Veason l Samsung A12 / M12 / A32 5G</t>
  </si>
  <si>
    <t>{"#",190a7469-3325-4d33-b5ec-28a63ac83b06,283:84f100155d46f6e511f09d4f98467e96}</t>
  </si>
  <si>
    <t>00-00001334</t>
  </si>
  <si>
    <t>Стекло Veason l Samsung A13 4G / A23</t>
  </si>
  <si>
    <t>{"#",190a7469-3325-4d33-b5ec-28a63ac83b06,283:84f100155d46f6e511f09d4f9870f130}</t>
  </si>
  <si>
    <t>00-00001335</t>
  </si>
  <si>
    <t>Стекло Veason l Samsung A14</t>
  </si>
  <si>
    <t>{"#",190a7469-3325-4d33-b5ec-28a63ac83b06,283:84f100155d46f6e511f09d4f9892742c}</t>
  </si>
  <si>
    <t>00-00001336</t>
  </si>
  <si>
    <t>Стекло Veason l Samsung A15</t>
  </si>
  <si>
    <t>{"#",190a7469-3325-4d33-b5ec-28a63ac83b06,283:84f100155d46f6e511f09d4f98b437ba}</t>
  </si>
  <si>
    <t>00-00001339</t>
  </si>
  <si>
    <t>Стекло Veason l Samsung A24 / A25</t>
  </si>
  <si>
    <t>{"#",190a7469-3325-4d33-b5ec-28a63ac83b06,283:84f100155d46f6e511f09d4f99170eee}</t>
  </si>
  <si>
    <t>00-00001340</t>
  </si>
  <si>
    <t>Стекло Veason l Samsung A30 / A30s / A50 / A50s / A40s / M21 / M31 / M30 / M30s</t>
  </si>
  <si>
    <t>{"#",190a7469-3325-4d33-b5ec-28a63ac83b06,283:84f100155d46f6e511f09d4f9931b262}</t>
  </si>
  <si>
    <t>00-00001341</t>
  </si>
  <si>
    <t>Стекло Veason l Samsung A31 / A32 / A22 / M32</t>
  </si>
  <si>
    <t>{"#",190a7469-3325-4d33-b5ec-28a63ac83b06,283:84f100155d46f6e511f09d4f994de612}</t>
  </si>
  <si>
    <t>00-00001342</t>
  </si>
  <si>
    <t>Стекло Veason l Samsung A33</t>
  </si>
  <si>
    <t>{"#",190a7469-3325-4d33-b5ec-28a63ac83b06,283:84f100155d46f6e511f09d4f9968740a}</t>
  </si>
  <si>
    <t>00-00001343</t>
  </si>
  <si>
    <t>Стекло Veason l Samsung A34</t>
  </si>
  <si>
    <t>{"#",190a7469-3325-4d33-b5ec-28a63ac83b06,283:84f100155d46f6e511f09d4f99915d20}</t>
  </si>
  <si>
    <t>00-00001344</t>
  </si>
  <si>
    <t>Стекло Veason l Samsung A35 / A55</t>
  </si>
  <si>
    <t>{"#",190a7469-3325-4d33-b5ec-28a63ac83b06,283:84f100155d46f6e511f09d4f99abc480}</t>
  </si>
  <si>
    <t>00-00001345</t>
  </si>
  <si>
    <t>Стекло Veason l Samsung A36 / A56 / S24 FE</t>
  </si>
  <si>
    <t>{"#",190a7469-3325-4d33-b5ec-28a63ac83b06,283:84f100155d46f6e511f09d4f99c7b5b4}</t>
  </si>
  <si>
    <t>00-00001346</t>
  </si>
  <si>
    <t>Стекло Veason l Samsung A51 / M31s</t>
  </si>
  <si>
    <t>{"#",190a7469-3325-4d33-b5ec-28a63ac83b06,283:84f100155d46f6e511f09d4f99e8d8de}</t>
  </si>
  <si>
    <t>00-00001347</t>
  </si>
  <si>
    <t>Стекло Veason l Samsung A52</t>
  </si>
  <si>
    <t>{"#",190a7469-3325-4d33-b5ec-28a63ac83b06,283:84f100155d46f6e511f09d4f9a0a0388}</t>
  </si>
  <si>
    <t>00-00001349</t>
  </si>
  <si>
    <t>Стекло Veason l Samsung A54 / S23 FE</t>
  </si>
  <si>
    <t>{"#",190a7469-3325-4d33-b5ec-28a63ac83b06,283:84f100155d46f6e511f09d4f9a43945e}</t>
  </si>
  <si>
    <t>00-00001350</t>
  </si>
  <si>
    <t>Стекло Veason l Samsung A7 2018</t>
  </si>
  <si>
    <t>{"#",190a7469-3325-4d33-b5ec-28a63ac83b06,283:84f100155d46f6e511f09d4f9a6169ac}</t>
  </si>
  <si>
    <t>00-00001351</t>
  </si>
  <si>
    <t>Стекло Veason l Samsung A70 / A70s</t>
  </si>
  <si>
    <t>{"#",190a7469-3325-4d33-b5ec-28a63ac83b06,283:84f100155d46f6e511f09d4f9a817738}</t>
  </si>
  <si>
    <t>00-00001352</t>
  </si>
  <si>
    <t>Стекло Veason l Samsung A71 / A81</t>
  </si>
  <si>
    <t>{"#",190a7469-3325-4d33-b5ec-28a63ac83b06,283:84f100155d46f6e511f09d4f9aa254d0}</t>
  </si>
  <si>
    <t>00-00001354</t>
  </si>
  <si>
    <t>Стекло Veason l Samsung A73</t>
  </si>
  <si>
    <t>{"#",190a7469-3325-4d33-b5ec-28a63ac83b06,283:84f100155d46f6e511f09d4f9ae4b974}</t>
  </si>
  <si>
    <t>00-00001355</t>
  </si>
  <si>
    <t>Стекло Veason l Samsung A8 (2018)</t>
  </si>
  <si>
    <t>{"#",190a7469-3325-4d33-b5ec-28a63ac83b06,283:84f100155d46f6e511f09d4f9afebf4a}</t>
  </si>
  <si>
    <t>00-00001356</t>
  </si>
  <si>
    <t>Стекло Veason l Samsung S20 FE</t>
  </si>
  <si>
    <t>{"#",190a7469-3325-4d33-b5ec-28a63ac83b06,283:84f100155d46f6e511f09d4f9b1991f8}</t>
  </si>
  <si>
    <t>00-00001358</t>
  </si>
  <si>
    <t>Стекло Veason l Tecno Camon 17P / 17 Pro / 18 / 18P / 19 Pro / 19 Neo</t>
  </si>
  <si>
    <t>{"#",190a7469-3325-4d33-b5ec-28a63ac83b06,283:84f100155d46f6e511f09d4f9b4ba4ae}</t>
  </si>
  <si>
    <t>00-00001359</t>
  </si>
  <si>
    <t>Стекло Veason l Tecno Camon 20 / 20 Pro</t>
  </si>
  <si>
    <t>{"#",190a7469-3325-4d33-b5ec-28a63ac83b06,283:84f100155d46f6e511f09d4f9b64fb0c}</t>
  </si>
  <si>
    <t>00-00001360</t>
  </si>
  <si>
    <t>Стекло Veason l Tecno Camon 40</t>
  </si>
  <si>
    <t>{"#",190a7469-3325-4d33-b5ec-28a63ac83b06,283:84f100155d46f6e511f09d4f9b864faa}</t>
  </si>
  <si>
    <t>00-00001362</t>
  </si>
  <si>
    <t>Стекло Veason l Tecno Pova 4 Pro</t>
  </si>
  <si>
    <t>{"#",190a7469-3325-4d33-b5ec-28a63ac83b06,283:84f100155d46f6e511f09d4f9bbdaf36}</t>
  </si>
  <si>
    <t>00-00001363</t>
  </si>
  <si>
    <t>Стекло Veason l Tecno Pova 5</t>
  </si>
  <si>
    <t>{"#",190a7469-3325-4d33-b5ec-28a63ac83b06,283:84f100155d46f6e511f09d4f9bdb1954}</t>
  </si>
  <si>
    <t>00-00001364</t>
  </si>
  <si>
    <t>Стекло Veason l Tecno Pova 6</t>
  </si>
  <si>
    <t>{"#",190a7469-3325-4d33-b5ec-28a63ac83b06,283:84f100155d46f6e511f09d4f9c016cbc}</t>
  </si>
  <si>
    <t>00-00001365</t>
  </si>
  <si>
    <t>Стекло Veason l Tecno Pova 6 Neo</t>
  </si>
  <si>
    <t>{"#",190a7469-3325-4d33-b5ec-28a63ac83b06,283:84f100155d46f6e511f09d4f9c21a9c8}</t>
  </si>
  <si>
    <t>00-00001366</t>
  </si>
  <si>
    <t>Стекло Veason l Tecno Pova 6 Pro 5G</t>
  </si>
  <si>
    <t>{"#",190a7469-3325-4d33-b5ec-28a63ac83b06,283:84f100155d46f6e511f09d4f9c3f5a40}</t>
  </si>
  <si>
    <t>00-00001367</t>
  </si>
  <si>
    <t>Стекло Veason l Tecno Spark 10 Pro</t>
  </si>
  <si>
    <t>{"#",190a7469-3325-4d33-b5ec-28a63ac83b06,283:84f100155d46f6e511f09d4f9c6508a8}</t>
  </si>
  <si>
    <t>00-00001368</t>
  </si>
  <si>
    <t>Стекло Veason l Tecno Spark 30 Pro</t>
  </si>
  <si>
    <t>{"#",190a7469-3325-4d33-b5ec-28a63ac83b06,283:84f100155d46f6e511f09d4f9c8e1144}</t>
  </si>
  <si>
    <t>00-00001369</t>
  </si>
  <si>
    <t>Стекло Veason l Tecno Spark Go 2024</t>
  </si>
  <si>
    <t>{"#",190a7469-3325-4d33-b5ec-28a63ac83b06,283:84f100155d46f6e511f09d4f9cb0b154}</t>
  </si>
  <si>
    <t>00-00001373</t>
  </si>
  <si>
    <t>Стекло Veason l Xiaomi 13 / 14</t>
  </si>
  <si>
    <t>{"#",190a7469-3325-4d33-b5ec-28a63ac83b06,283:84f100155d46f6e511f09d4f9d3c9020}</t>
  </si>
  <si>
    <t>00-00001374</t>
  </si>
  <si>
    <t>Стекло Veason l Xiaomi Mi 10T</t>
  </si>
  <si>
    <t>{"#",190a7469-3325-4d33-b5ec-28a63ac83b06,283:84f100155d46f6e511f09d4f9d6731b8}</t>
  </si>
  <si>
    <t>00-00001377</t>
  </si>
  <si>
    <t>Стекло Veason l Xiaomi Poco F5</t>
  </si>
  <si>
    <t>{"#",190a7469-3325-4d33-b5ec-28a63ac83b06,283:84f100155d46f6e511f09d4f9db4907a}</t>
  </si>
  <si>
    <t>00-00001379</t>
  </si>
  <si>
    <t>Стекло Veason l Xiaomi Poco M3 / Redmi 9T</t>
  </si>
  <si>
    <t>{"#",190a7469-3325-4d33-b5ec-28a63ac83b06,283:84f100155d46f6e511f09d4f9de85018}</t>
  </si>
  <si>
    <t>00-00001380</t>
  </si>
  <si>
    <t>Стекло Veason l Xiaomi Poco M3 Pro / Redmi Note 10T</t>
  </si>
  <si>
    <t>{"#",190a7469-3325-4d33-b5ec-28a63ac83b06,283:84f100155d46f6e511f09d4f9e02b5e8}</t>
  </si>
  <si>
    <t>00-00001381</t>
  </si>
  <si>
    <t>Стекло Veason l Xiaomi Poco M4 5G / Poco M5 / Redmi Note 11R</t>
  </si>
  <si>
    <t>{"#",190a7469-3325-4d33-b5ec-28a63ac83b06,283:84f100155d46f6e511f09d4f9e1c6c2c}</t>
  </si>
  <si>
    <t>00-00001382</t>
  </si>
  <si>
    <t>Стекло Veason l Xiaomi Poco X3 / Mi 10i</t>
  </si>
  <si>
    <t>{"#",190a7469-3325-4d33-b5ec-28a63ac83b06,283:84f100155d46f6e511f09d4f9e369dd6}</t>
  </si>
  <si>
    <t>00-00001383</t>
  </si>
  <si>
    <t>Стекло Veason l Xiaomi Poco X3 GT / Note 11T / Poco M4 Pro 5G</t>
  </si>
  <si>
    <t>{"#",190a7469-3325-4d33-b5ec-28a63ac83b06,283:84f100155d46f6e511f09d4f9e508598}</t>
  </si>
  <si>
    <t>00-00001384</t>
  </si>
  <si>
    <t>Стекло Veason l Xiaomi Poco X7 Pro / F7 Pro / F7 Ultra</t>
  </si>
  <si>
    <t>{"#",190a7469-3325-4d33-b5ec-28a63ac83b06,283:84f100155d46f6e511f09d4f9e6c9864}</t>
  </si>
  <si>
    <t>00-00001385</t>
  </si>
  <si>
    <t>Стекло Veason l Xiaomi Redmi 10C / Redmi 12C / Poco C40 / Poco C55 / Poco C61</t>
  </si>
  <si>
    <t>{"#",190a7469-3325-4d33-b5ec-28a63ac83b06,283:84f100155d46f6e511f09d4f9e86a9d4}</t>
  </si>
  <si>
    <t>00-00001386</t>
  </si>
  <si>
    <t>Стекло Veason l Xiaomi Redmi 12 / 13 / Poco M6 Pro 5G</t>
  </si>
  <si>
    <t>{"#",190a7469-3325-4d33-b5ec-28a63ac83b06,283:84f100155d46f6e511f09d4f9e9f1c58}</t>
  </si>
  <si>
    <t>00-00001387</t>
  </si>
  <si>
    <t>Стекло Veason l Xiaomi Redmi 13C</t>
  </si>
  <si>
    <t>{"#",190a7469-3325-4d33-b5ec-28a63ac83b06,283:84f100155d46f6e511f09d4f9eb7b5e2}</t>
  </si>
  <si>
    <t>00-00001388</t>
  </si>
  <si>
    <t>Стекло Veason l Xiaomi Redmi 8/8а</t>
  </si>
  <si>
    <t>{"#",190a7469-3325-4d33-b5ec-28a63ac83b06,283:84f100155d46f6e511f09d4f9ed1b456}</t>
  </si>
  <si>
    <t>00-00001389</t>
  </si>
  <si>
    <t>Стекло Veason l Xiaomi Redmi 9 / Poco M2</t>
  </si>
  <si>
    <t>{"#",190a7469-3325-4d33-b5ec-28a63ac83b06,283:84f100155d46f6e511f09d4f9eea61e0}</t>
  </si>
  <si>
    <t>00-00001390</t>
  </si>
  <si>
    <t>Стекло Veason l Xiaomi Redmi 9a / 9c / 10a / Poco C51</t>
  </si>
  <si>
    <t>{"#",190a7469-3325-4d33-b5ec-28a63ac83b06,283:84f100155d46f6e511f09d4f9f032888}</t>
  </si>
  <si>
    <t>00-00001391</t>
  </si>
  <si>
    <t>Стекло Veason l Xiaomi Redmi Note 10 / 10s / 11 / 11s / 12s / Poco M4 Pro / M5s</t>
  </si>
  <si>
    <t>{"#",190a7469-3325-4d33-b5ec-28a63ac83b06,283:84f100155d46f6e511f09d4f9f1ce782}</t>
  </si>
  <si>
    <t>00-00001396</t>
  </si>
  <si>
    <t>Стекло Veason l Xiaomi Redmi Note 13 / Note 13 Pro / Poco X6 / X6 Pro / M6 Pro 4G</t>
  </si>
  <si>
    <t>{"#",190a7469-3325-4d33-b5ec-28a63ac83b06,283:84f100155d46f6e511f09d4f9f9927b6}</t>
  </si>
  <si>
    <t>00-00001398</t>
  </si>
  <si>
    <t>Стекло Veason l Xiaomi Redmi Note 6 Pro</t>
  </si>
  <si>
    <t>{"#",190a7469-3325-4d33-b5ec-28a63ac83b06,283:84f100155d46f6e511f09d4f9fcdb5bc}</t>
  </si>
  <si>
    <t>00-00001404</t>
  </si>
  <si>
    <t>Стекло Veason l Xiaomi Redmi Note 9s / Pro</t>
  </si>
  <si>
    <t>{"#",190a7469-3325-4d33-b5ec-28a63ac83b06,283:84f100155d46f6e511f09d4fa065839c}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</si>
</sst>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
  </numFmts>
  <fonts count="13">
    <font>
      <sz val="11"/>
      <color theme="1"/>
      <name val="Calibri"/>
      <family val="2"/>
    </font>
    <font>
      <sz val="11"/>
      <color rgb="FF404040"/>
      <name val="Arial"/>
      <family val="2"/>
    </font>
    <font>
      <sz val="10"/>
      <color rgb="FF000000"/>
      <name val="Arial"/>
      <family val="2"/>
    </font>
    <font>
      <b val="1"/>
      <sz val="10"/>
      <color rgb="FF000000"/>
      <name val="Arial"/>
      <family val="2"/>
    </font>
    <font>
      <sz val="11"/>
      <color rgb="FFF2F2F2"/>
      <name val="Arial"/>
      <family val="2"/>
    </font>
    <font>
      <b val="1"/>
      <sz val="11"/>
      <color rgb="FF000000"/>
      <name val="Arial"/>
      <family val="2"/>
    </font>
    <font>
      <b val="1"/>
      <sz val="12"/>
      <color rgb="FF000000"/>
      <name val="Arial"/>
      <family val="2"/>
    </font>
    <font>
      <b val="1"/>
      <sz val="10"/>
      <color rgb="FF0000FF"/>
      <name val="Arial"/>
      <family val="2"/>
    </font>
    <font>
      <sz val="8"/>
      <color rgb="FF000000"/>
      <name val="Arial"/>
      <family val="2"/>
    </font>
    <font>
      <b val="1"/>
      <sz val="8"/>
      <color rgb="FF000000"/>
      <name val="Arial"/>
      <family val="2"/>
    </font>
    <font>
      <u val="single"/>
      <sz val="11"/>
      <color rgb="FF0000FF"/>
      <name val="Calibri"/>
      <family val="2"/>
    </font>
    <font>
      <b val="1"/>
      <sz val="8"/>
      <color rgb="FF333333"/>
      <name val="Arial"/>
      <family val="2"/>
    </font>
    <font>
      <b val="1"/>
      <sz val="8"/>
      <color rgb="FF4D4D4D"/>
      <name val="Arial"/>
      <family val="2"/>
    </font>
  </fonts>
  <fills count="6">
    <fill>
      <patternFill patternType="none"/>
    </fill>
    <fill>
      <patternFill patternType="gray125"/>
    </fill>
    <fill>
      <gradientFill degree="90">
        <stop position="0">
          <color rgb="FF404040"/>
        </stop>
        <stop position="1">
          <color rgb="FF404040"/>
        </stop>
      </gradientFill>
    </fill>
    <fill>
      <gradientFill degree="90">
        <stop position="0">
          <color rgb="FFF2F2F2"/>
        </stop>
        <stop position="1">
          <color rgb="FFF2F2F2"/>
        </stop>
      </gradientFill>
    </fill>
    <fill>
      <gradientFill degree="90">
        <stop position="0">
          <color rgb="FFF4ECC5"/>
        </stop>
        <stop position="1">
          <color rgb="FFF4ECC5"/>
        </stop>
      </gradientFill>
    </fill>
    <fill>
      <gradientFill degree="90">
        <stop position="0">
          <color rgb="FFF8F2D8"/>
        </stop>
        <stop position="1">
          <color rgb="FFF8F2D8"/>
        </stop>
      </gradient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true" applyFill="true" applyAlignment="true">
      <alignment vertical="center"/>
    </xf>
    <xf numFmtId="0" fontId="2" fillId="3" borderId="0" xfId="0" applyFont="true" applyFill="true" applyAlignment="true">
      <alignment horizontal="right" vertical="center"/>
    </xf>
    <xf numFmtId="0" fontId="3" fillId="3" borderId="0" xfId="0" applyFont="true" applyFill="true" applyAlignment="true">
      <alignment vertical="center"/>
    </xf>
    <xf numFmtId="0" fontId="4" fillId="3" borderId="0" xfId="0" applyFont="true" applyFill="true" applyAlignment="true">
      <alignment vertical="center"/>
    </xf>
    <xf numFmtId="0" fontId="2" fillId="0" borderId="0" xfId="0" applyFont="true" applyAlignment="true">
      <alignment horizontal="right" vertical="center"/>
    </xf>
    <xf numFmtId="0" fontId="3"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vertical="center"/>
    </xf>
    <xf numFmtId="0" fontId="7" fillId="0" borderId="0" xfId="0" applyFont="true" applyAlignment="true">
      <alignment indent="1"/>
    </xf>
    <xf numFmtId="0" fontId="8" fillId="0" borderId="0" xfId="0" applyFont="true" applyAlignment="true">
      <alignment vertical="center"/>
    </xf>
    <xf numFmtId="0" fontId="9" fillId="0" borderId="0" xfId="0" applyFont="true" applyAlignment="true">
      <alignment vertical="center"/>
    </xf>
    <xf numFmtId="0" fontId="10" fillId="0" borderId="0" xfId="0" applyFont="true" applyAlignment="true">
      <alignment horizontal="right"/>
    </xf>
    <xf numFmtId="0" fontId="11" fillId="4" borderId="1" xfId="0" applyFont="true" applyFill="true" applyBorder="true" applyAlignment="true" applyProtection="true">
      <alignment horizontal="left" vertical="center" wrapText="true"/>
      <protection hidden="false" locked="true"/>
    </xf>
    <xf numFmtId="0" fontId="11" fillId="4" borderId="1" xfId="0" applyFont="true" applyFill="true" applyBorder="true" applyAlignment="true" applyProtection="true">
      <alignment horizontal="center" vertical="center" wrapText="true"/>
      <protection hidden="false" locked="true"/>
    </xf>
    <xf numFmtId="0" fontId="8" fillId="0" borderId="1" xfId="0" applyFont="true" applyBorder="true" applyAlignment="true" applyProtection="true">
      <alignment horizontal="left" vertical="center" wrapText="true"/>
      <protection hidden="false" locked="true"/>
    </xf>
    <xf numFmtId="0" fontId="8" fillId="0" borderId="1" xfId="0" applyFont="true" applyBorder="true" applyAlignment="true" applyProtection="true">
      <alignment horizontal="center" vertical="center" wrapText="true"/>
      <protection hidden="false" locked="true"/>
    </xf>
    <xf numFmtId="164" fontId="8" fillId="0" borderId="1" xfId="0" applyNumberFormat="true" applyFont="true" applyBorder="true" applyAlignment="true" applyProtection="true">
      <alignment horizontal="center" vertical="center" wrapText="true"/>
      <protection hidden="false" locked="true"/>
    </xf>
    <xf numFmtId="0" fontId="12" fillId="5" borderId="0" xfId="0" applyFont="true" applyFill="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xdr:col>
      <xdr:colOff>0</xdr:colOff>
      <xdr:row>1</xdr:row>
      <xdr:rowOff>0</xdr:rowOff>
    </xdr:from>
    <xdr:to>
      <xdr:col>5</xdr:col>
      <xdr:colOff>600075</xdr:colOff>
      <xdr:row>5</xdr:row>
      <xdr:rowOff>85725</xdr:rowOff>
    </xdr:to>
    <xdr:pic>
      <xdr:nvPicPr>
        <xdr:cNvPr id="2" name="Picture 2" descr="v8_42S2x8_3.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false" summaryRight="false" showOutlineSymbols="false"/>
  </sheetPr>
  <dimension ref="A1"/>
  <sheetViews>
    <sheetView showGridLines="false" tabSelected="true" workbookViewId="0"/>
  </sheetViews>
  <cols>
    <col customWidth="true" max="1" min="1" width="14"/>
    <col customWidth="true" max="2" min="2" width="11.625"/>
    <col customWidth="true" max="8" min="3" width="9"/>
  </cols>
  <sheetData>
    <row r="1" ht="11" customHeight="true">
      <c r="A1" s="1">
        <v>0</v>
      </c>
      <c r="B1" s="1">
        <v>0</v>
      </c>
      <c r="C1" s="1">
        <v>0</v>
      </c>
      <c r="D1" s="1">
        <v>0</v>
      </c>
      <c r="E1" s="1">
        <v>0</v>
      </c>
      <c r="F1" s="1">
        <v>0</v>
      </c>
      <c r="G1" s="1">
        <v>0</v>
      </c>
      <c r="H1" s="1">
        <v>0</v>
      </c>
    </row>
    <row r="2" ht="11" customHeight="true">
      <c r="A2" s="1">
        <v>0</v>
      </c>
      <c r="B2" s="1">
        <v>0</v>
      </c>
      <c r="C2" s="1">
        <v>0</v>
      </c>
      <c r="D2" s="1">
        <v>0</v>
      </c>
      <c r="E2" s="1">
        <v>0</v>
      </c>
      <c r="F2" s="1">
        <v>0</v>
      </c>
      <c r="G2" s="1">
        <v>0</v>
      </c>
      <c r="H2" s="1">
        <v>0</v>
      </c>
    </row>
    <row r="3" ht="11" customHeight="true">
      <c r="A3" s="1">
        <v>0</v>
      </c>
      <c r="B3" s="1">
        <v>0</v>
      </c>
      <c r="C3" s="1">
        <v>0</v>
      </c>
      <c r="D3" s="1">
        <v>0</v>
      </c>
      <c r="E3" s="1">
        <v>0</v>
      </c>
      <c r="F3" s="1">
        <v>0</v>
      </c>
      <c r="G3" s="1">
        <v>0</v>
      </c>
      <c r="H3" s="1">
        <v>0</v>
      </c>
    </row>
    <row r="4" ht="11" customHeight="true">
      <c r="A4" s="1">
        <v>0</v>
      </c>
      <c r="B4" s="1">
        <v>0</v>
      </c>
      <c r="C4" s="1">
        <v>0</v>
      </c>
      <c r="D4" s="1">
        <v>0</v>
      </c>
      <c r="E4" s="1">
        <v>0</v>
      </c>
      <c r="F4" s="1">
        <v>0</v>
      </c>
      <c r="G4" s="1">
        <v>0</v>
      </c>
      <c r="H4" s="1">
        <v>0</v>
      </c>
    </row>
    <row r="5" ht="11" customHeight="true">
      <c r="A5" s="1">
        <v>0</v>
      </c>
      <c r="B5" s="1">
        <v>0</v>
      </c>
      <c r="C5" s="1">
        <v>0</v>
      </c>
      <c r="D5" s="1">
        <v>0</v>
      </c>
      <c r="E5" s="1">
        <v>0</v>
      </c>
      <c r="F5" s="1">
        <v>0</v>
      </c>
      <c r="G5" s="1">
        <v>0</v>
      </c>
      <c r="H5" s="1">
        <v>0</v>
      </c>
    </row>
    <row r="6" ht="11" customHeight="true">
      <c r="A6" s="1">
        <v>0</v>
      </c>
      <c r="B6" s="1">
        <v>0</v>
      </c>
      <c r="C6" s="1">
        <v>0</v>
      </c>
      <c r="D6" s="1">
        <v>0</v>
      </c>
      <c r="E6" s="1">
        <v>0</v>
      </c>
      <c r="F6" s="1">
        <v>0</v>
      </c>
      <c r="G6" s="1">
        <v>0</v>
      </c>
      <c r="H6" s="1">
        <v>0</v>
      </c>
    </row>
    <row r="7" ht="11" customHeight="true">
      <c r="A7" s="1">
        <v>0</v>
      </c>
      <c r="B7" s="1">
        <v>0</v>
      </c>
      <c r="C7" s="1">
        <v>0</v>
      </c>
      <c r="D7" s="1">
        <v>0</v>
      </c>
      <c r="E7" s="1">
        <v>0</v>
      </c>
      <c r="F7" s="1">
        <v>0</v>
      </c>
      <c r="G7" s="1">
        <v>0</v>
      </c>
      <c r="H7" s="1">
        <v>0</v>
      </c>
    </row>
    <row r="8" ht="11" customHeight="true">
      <c r="A8" s="2" t="s">
        <v>0</v>
      </c>
      <c r="B8" s="3" t="s">
        <v>1</v>
      </c>
      <c r="C8" s="4">
        <v>0</v>
      </c>
      <c r="D8" s="4">
        <v>0</v>
      </c>
      <c r="E8" s="4">
        <v>0</v>
      </c>
      <c r="F8" s="4">
        <v>0</v>
      </c>
      <c r="G8" s="4">
        <v>0</v>
      </c>
      <c r="H8" s="4">
        <v>0</v>
      </c>
    </row>
    <row r="9" ht="11" customHeight="true">
      <c r="A9" s="2"/>
      <c r="B9" s="3"/>
      <c r="C9" s="4">
        <v>0</v>
      </c>
      <c r="D9" s="4">
        <v>0</v>
      </c>
      <c r="E9" s="4">
        <v>0</v>
      </c>
      <c r="F9" s="4">
        <v>0</v>
      </c>
      <c r="G9" s="4">
        <v>0</v>
      </c>
      <c r="H9" s="4">
        <v>0</v>
      </c>
    </row>
    <row r="10" ht="15.75" customHeight="true"/>
    <row r="11" ht="15.75" customHeight="true">
      <c r="A11" s="5" t="s">
        <v>2</v>
      </c>
      <c r="B11" s="6" t="s">
        <v>3</v>
      </c>
    </row>
    <row r="12" ht="15.75" customHeight="true">
      <c r="A12" s="5" t="s">
        <v>4</v>
      </c>
      <c r="B12" s="6" t="s">
        <v>5</v>
      </c>
    </row>
    <row r="13" ht="15.75" customHeight="true">
      <c r="A13" s="5" t="s">
        <v>6</v>
      </c>
      <c r="B13" s="6" t="s">
        <v>7</v>
      </c>
    </row>
    <row r="14" ht="15.75" customHeight="true">
      <c r="A14" s="5" t="s">
        <v>8</v>
      </c>
      <c r="B14" s="6" t="s">
        <v>9</v>
      </c>
    </row>
    <row r="15" ht="15.75" customHeight="true">
      <c r="A15" s="5" t="s">
        <v>10</v>
      </c>
      <c r="B15" s="6" t="s">
        <v>11</v>
      </c>
    </row>
    <row r="16" ht="15.75" customHeight="true"/>
    <row r="17" ht="11" customHeight="true"/>
    <row r="18" ht="11" customHeight="true">
      <c r="A18" s="7" t="s">
        <v>12</v>
      </c>
      <c r="B18" s="7">
        <f>=SUM('G-Rhino 6D'!I6:I293,'G-Rhino HD Ultra'!I6:I18,'G-Rhino Антишпион'!I6:I35,'G-Rhino Антишпион 360'!I6:I17,'G-Rhino на часы'!I6:I29,'G-Rhino прозрачные стекла для п'!I6:I48,'Veason'!I6:I90,'Упаковка, салфетки'!I6:I11)</f>
        <v>0</v>
      </c>
    </row>
    <row r="19" ht="11" customHeight="true"/>
    <row r="20" ht="11" customHeight="true"/>
    <row r="21" ht="11" customHeight="true">
      <c r="A21" s="8" t="s">
        <v>13</v>
      </c>
    </row>
    <row r="22"/>
    <row r="23">
      <c r="A23" s="9" t="s">
        <v>14</v>
      </c>
    </row>
    <row r="24">
      <c r="A24" s="9" t="s">
        <v>15</v>
      </c>
    </row>
    <row r="25">
      <c r="A25" s="9" t="s">
        <v>16</v>
      </c>
    </row>
    <row r="26">
      <c r="A26" s="9" t="s">
        <v>17</v>
      </c>
    </row>
    <row r="27">
      <c r="A27" s="9" t="s">
        <v>18</v>
      </c>
    </row>
    <row r="28">
      <c r="A28" s="9" t="s">
        <v>19</v>
      </c>
    </row>
    <row r="29">
      <c r="A29" s="9" t="s">
        <v>20</v>
      </c>
    </row>
    <row r="30">
      <c r="A30" s="9" t="s">
        <v>21</v>
      </c>
    </row>
  </sheetData>
  <mergeCells count="10">
    <mergeCell ref="A8:A9"/>
    <mergeCell ref="B8:B9"/>
    <mergeCell ref="A23:E23"/>
    <mergeCell ref="A24:E24"/>
    <mergeCell ref="A25:E25"/>
    <mergeCell ref="A26:E26"/>
    <mergeCell ref="A27:E27"/>
    <mergeCell ref="A28:E28"/>
    <mergeCell ref="A29:E29"/>
    <mergeCell ref="A30:E30"/>
  </mergeCells>
  <hyperlinks>
    <hyperlink ref="A23" location="'Упаковка, салфетки'!A1"/>
    <hyperlink ref="A24" location="'G-Rhino 6D'!A1"/>
    <hyperlink ref="A25" location="'G-Rhino HD Ultra'!A1"/>
    <hyperlink ref="A26" location="'G-Rhino Антишпион'!A1"/>
    <hyperlink ref="A27" location="'G-Rhino Антишпион 360'!A1"/>
    <hyperlink ref="A28" location="'G-Rhino на часы'!A1"/>
    <hyperlink ref="A29" location="'G-Rhino прозрачные стекла для п'!A1"/>
    <hyperlink ref="A30" location="'Veason'!A1"/>
  </hyperlin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sheetPr>
    <outlinePr summaryBelow="false" summaryRight="false" showOutlineSymbols="false"/>
  </sheetPr>
  <dimension ref="A1"/>
  <sheetViews>
    <sheetView workbookViewId="0"/>
  </sheetViews>
  <cols>
    <col customWidth="true" max="1" min="1" width="14"/>
    <col customWidth="true" max="2" min="2" width="39"/>
    <col customWidth="true" hidden="true" max="8" min="8" width="9.140625"/>
    <col customWidth="true" max="9" min="9" width="10"/>
    <col customWidth="true" max="10" min="10" width="25"/>
    <col customWidth="true" hidden="true" max="12" min="11" width="9.140625"/>
  </cols>
  <sheetData>
    <row r="1" hidden="true">
      <c r="A1" t="s">
        <v>22</v>
      </c>
      <c r="B1" t="s">
        <v>23</v>
      </c>
      <c r="C1" t="s">
        <v>24</v>
      </c>
      <c r="D1" t="s">
        <v>25</v>
      </c>
      <c r="E1" t="s">
        <v>26</v>
      </c>
      <c r="F1" t="s">
        <v>27</v>
      </c>
      <c r="G1" t="s">
        <v>28</v>
      </c>
      <c r="H1" t="s">
        <v>29</v>
      </c>
      <c r="I1" t="s">
        <v>30</v>
      </c>
      <c r="J1" t="s">
        <v>31</v>
      </c>
      <c r="K1" t="s">
        <v>32</v>
      </c>
      <c r="L1" t="s">
        <v>33</v>
      </c>
    </row>
    <row r="2" ht="11" customHeight="true">
      <c r="H2" s="10">
        <f>=SUM(H6:H11)</f>
        <v>0</v>
      </c>
      <c r="I2" s="11" t="s">
        <v>34</v>
      </c>
      <c r="J2" s="11">
        <f>=SUM(I6:I11)</f>
        <v>0</v>
      </c>
    </row>
    <row r="3"/>
    <row r="4">
      <c r="A4" s="12" t="s">
        <v>35</v>
      </c>
    </row>
    <row r="5" ht="20" customHeight="true">
      <c r="A5" s="13" t="s">
        <v>22</v>
      </c>
      <c r="B5" s="13" t="s">
        <v>23</v>
      </c>
      <c r="C5" s="13" t="s">
        <v>24</v>
      </c>
      <c r="D5" s="14" t="s">
        <v>25</v>
      </c>
      <c r="E5" s="14" t="s">
        <v>26</v>
      </c>
      <c r="F5" s="14" t="s">
        <v>27</v>
      </c>
      <c r="G5" s="14" t="s">
        <v>28</v>
      </c>
      <c r="H5" s="13" t="s">
        <v>29</v>
      </c>
      <c r="I5" s="14" t="s">
        <v>30</v>
      </c>
      <c r="J5" s="13" t="s">
        <v>31</v>
      </c>
    </row>
    <row r="6">
      <c r="A6" s="15" t="s">
        <v>36</v>
      </c>
      <c r="B6" s="15" t="s">
        <v>37</v>
      </c>
      <c r="C6" s="15" t="s">
        <v>38</v>
      </c>
      <c r="D6" s="16">
        <v>4.1</v>
      </c>
      <c r="E6" s="16">
        <v>4.1</v>
      </c>
      <c r="F6" s="16">
        <v>4.1</v>
      </c>
      <c r="G6" s="17">
        <v>0</v>
      </c>
      <c r="H6" s="15">
        <f>G6*F6</f>
      </c>
      <c r="I6" s="17">
        <f>IF($H$2&gt;45000, D6*G6, IF($H$2&gt;15000, E6*G6, F6*G6)) </f>
      </c>
      <c r="J6" s="15" t="s">
        <v>38</v>
      </c>
      <c r="K6" t="s">
        <v>39</v>
      </c>
    </row>
    <row r="7">
      <c r="A7" s="15" t="s">
        <v>40</v>
      </c>
      <c r="B7" s="15" t="s">
        <v>41</v>
      </c>
      <c r="C7" s="15" t="s">
        <v>38</v>
      </c>
      <c r="D7" s="16">
        <v>1.2</v>
      </c>
      <c r="E7" s="16">
        <v>1.3</v>
      </c>
      <c r="F7" s="16">
        <v>1.4</v>
      </c>
      <c r="G7" s="17">
        <v>0</v>
      </c>
      <c r="H7" s="15">
        <f>G7*F7</f>
      </c>
      <c r="I7" s="17">
        <f>IF($H$2&gt;45000, D7*G7, IF($H$2&gt;15000, E7*G7, F7*G7)) </f>
      </c>
      <c r="J7" s="15" t="s">
        <v>38</v>
      </c>
      <c r="K7" t="s">
        <v>42</v>
      </c>
    </row>
    <row r="8">
      <c r="A8" s="15" t="s">
        <v>43</v>
      </c>
      <c r="B8" s="15" t="s">
        <v>44</v>
      </c>
      <c r="C8" s="15" t="s">
        <v>38</v>
      </c>
      <c r="D8" s="16">
        <v>72</v>
      </c>
      <c r="E8" s="16">
        <v>72</v>
      </c>
      <c r="F8" s="16">
        <v>72</v>
      </c>
      <c r="G8" s="17">
        <v>0</v>
      </c>
      <c r="H8" s="15">
        <f>G8*F8</f>
      </c>
      <c r="I8" s="17">
        <f>IF($H$2&gt;45000, D8*G8, IF($H$2&gt;15000, E8*G8, F8*G8)) </f>
      </c>
      <c r="J8" s="15" t="s">
        <v>38</v>
      </c>
      <c r="K8" t="s">
        <v>45</v>
      </c>
    </row>
    <row r="9">
      <c r="A9" s="15" t="s">
        <v>46</v>
      </c>
      <c r="B9" s="15" t="s">
        <v>47</v>
      </c>
      <c r="C9" s="15" t="s">
        <v>38</v>
      </c>
      <c r="D9" s="16">
        <v>5</v>
      </c>
      <c r="E9" s="16">
        <v>5</v>
      </c>
      <c r="F9" s="16">
        <v>5</v>
      </c>
      <c r="G9" s="17">
        <v>0</v>
      </c>
      <c r="H9" s="15">
        <f>G9*F9</f>
      </c>
      <c r="I9" s="17">
        <f>IF($H$2&gt;45000, D9*G9, IF($H$2&gt;15000, E9*G9, F9*G9)) </f>
      </c>
      <c r="J9" s="15" t="s">
        <v>38</v>
      </c>
      <c r="K9" t="s">
        <v>48</v>
      </c>
    </row>
    <row r="10">
      <c r="A10" s="15" t="s">
        <v>49</v>
      </c>
      <c r="B10" s="15" t="s">
        <v>50</v>
      </c>
      <c r="C10" s="15" t="s">
        <v>38</v>
      </c>
      <c r="D10" s="16">
        <v>12.3</v>
      </c>
      <c r="E10" s="16">
        <v>12.3</v>
      </c>
      <c r="F10" s="16">
        <v>12.3</v>
      </c>
      <c r="G10" s="17">
        <v>0</v>
      </c>
      <c r="H10" s="15">
        <f>G10*F10</f>
      </c>
      <c r="I10" s="17">
        <f>IF($H$2&gt;45000, D10*G10, IF($H$2&gt;15000, E10*G10, F10*G10)) </f>
      </c>
      <c r="J10" s="15" t="s">
        <v>38</v>
      </c>
      <c r="K10" t="s">
        <v>51</v>
      </c>
    </row>
    <row r="11">
      <c r="A11" s="15" t="s">
        <v>52</v>
      </c>
      <c r="B11" s="15" t="s">
        <v>53</v>
      </c>
      <c r="C11" s="15" t="s">
        <v>38</v>
      </c>
      <c r="D11" s="16">
        <v>11.9</v>
      </c>
      <c r="E11" s="16">
        <v>11.9</v>
      </c>
      <c r="F11" s="16">
        <v>11.9</v>
      </c>
      <c r="G11" s="17">
        <v>0</v>
      </c>
      <c r="H11" s="15">
        <f>G11*F11</f>
      </c>
      <c r="I11" s="17">
        <f>IF($H$2&gt;45000, D11*G11, IF($H$2&gt;15000, E11*G11, F11*G11)) </f>
      </c>
      <c r="J11" s="15" t="s">
        <v>38</v>
      </c>
      <c r="K11" t="s">
        <v>54</v>
      </c>
    </row>
    <row r="12"/>
    <row r="13">
      <c r="A13" s="12" t="s">
        <v>35</v>
      </c>
    </row>
  </sheetData>
  <mergeCells count="2">
    <mergeCell ref="A4:J4"/>
    <mergeCell ref="A13:J13"/>
  </mergeCells>
  <hyperlinks>
    <hyperlink ref="A4" location="ОГЛАВЛЕНИЕ!A1"/>
    <hyperlink ref="A13" location="ОГЛАВЛЕНИЕ!A1"/>
  </hyperlinks>
</worksheet>
</file>

<file path=xl/worksheets/sheet4.xml><?xml version="1.0" encoding="utf-8"?>
<worksheet xmlns="http://schemas.openxmlformats.org/spreadsheetml/2006/main" xmlns:r="http://schemas.openxmlformats.org/officeDocument/2006/relationships" xmlns:mc="http://schemas.openxmlformats.org/markup-compatibility/2006">
  <sheetPr>
    <tabColor rgb="FFEC7A44"/>
    <outlinePr summaryBelow="false" summaryRight="false" showOutlineSymbols="false"/>
  </sheetPr>
  <dimension ref="A1"/>
  <sheetViews>
    <sheetView workbookViewId="0"/>
  </sheetViews>
  <cols>
    <col customWidth="true" max="1" min="1" width="14"/>
    <col customWidth="true" max="2" min="2" width="39"/>
    <col customWidth="true" hidden="true" max="8" min="8" width="9.140625"/>
    <col customWidth="true" max="9" min="9" width="10"/>
    <col customWidth="true" max="10" min="10" width="25"/>
    <col customWidth="true" hidden="true" max="12" min="11" width="9.140625"/>
  </cols>
  <sheetData>
    <row r="1" hidden="true">
      <c r="A1" t="s">
        <v>22</v>
      </c>
      <c r="B1" t="s">
        <v>23</v>
      </c>
      <c r="C1" t="s">
        <v>24</v>
      </c>
      <c r="D1" t="s">
        <v>25</v>
      </c>
      <c r="E1" t="s">
        <v>26</v>
      </c>
      <c r="F1" t="s">
        <v>27</v>
      </c>
      <c r="G1" t="s">
        <v>28</v>
      </c>
      <c r="H1" t="s">
        <v>29</v>
      </c>
      <c r="I1" t="s">
        <v>30</v>
      </c>
      <c r="J1" t="s">
        <v>31</v>
      </c>
      <c r="K1" t="s">
        <v>32</v>
      </c>
      <c r="L1" t="s">
        <v>33</v>
      </c>
    </row>
    <row r="2" ht="11" customHeight="true">
      <c r="H2" s="10">
        <f>=SUM(H6:H293)</f>
        <v>0</v>
      </c>
      <c r="I2" s="11" t="s">
        <v>34</v>
      </c>
      <c r="J2" s="11">
        <f>=SUM(I6:I293)</f>
        <v>0</v>
      </c>
    </row>
    <row r="3"/>
    <row r="4">
      <c r="A4" s="12" t="s">
        <v>35</v>
      </c>
    </row>
    <row r="5" ht="20" customHeight="true">
      <c r="A5" s="13" t="s">
        <v>22</v>
      </c>
      <c r="B5" s="13" t="s">
        <v>23</v>
      </c>
      <c r="C5" s="13" t="s">
        <v>24</v>
      </c>
      <c r="D5" s="14" t="s">
        <v>25</v>
      </c>
      <c r="E5" s="14" t="s">
        <v>26</v>
      </c>
      <c r="F5" s="14" t="s">
        <v>27</v>
      </c>
      <c r="G5" s="14" t="s">
        <v>28</v>
      </c>
      <c r="H5" s="13" t="s">
        <v>29</v>
      </c>
      <c r="I5" s="14" t="s">
        <v>30</v>
      </c>
      <c r="J5" s="13" t="s">
        <v>31</v>
      </c>
    </row>
    <row r="6">
      <c r="A6" s="18" t="s">
        <v>55</v>
      </c>
    </row>
    <row r="7" outlineLevel="1">
      <c r="A7" s="15" t="s">
        <v>56</v>
      </c>
      <c r="B7" s="15" t="s">
        <v>57</v>
      </c>
      <c r="C7" s="15" t="s">
        <v>38</v>
      </c>
      <c r="D7" s="16">
        <v>70</v>
      </c>
      <c r="E7" s="16">
        <v>77</v>
      </c>
      <c r="F7" s="16">
        <v>84</v>
      </c>
      <c r="G7" s="17">
        <v>0</v>
      </c>
      <c r="H7" s="15">
        <f>G7*F7</f>
      </c>
      <c r="I7" s="17">
        <f>IF($H$2&gt;45000, D7*G7, IF($H$2&gt;15000, E7*G7, F7*G7)) </f>
      </c>
      <c r="J7" s="15" t="s">
        <v>38</v>
      </c>
      <c r="K7" t="s">
        <v>58</v>
      </c>
    </row>
    <row r="8" outlineLevel="1">
      <c r="A8" s="15" t="s">
        <v>59</v>
      </c>
      <c r="B8" s="15" t="s">
        <v>60</v>
      </c>
      <c r="C8" s="15" t="s">
        <v>38</v>
      </c>
      <c r="D8" s="16">
        <v>71</v>
      </c>
      <c r="E8" s="16">
        <v>77</v>
      </c>
      <c r="F8" s="16">
        <v>85</v>
      </c>
      <c r="G8" s="17">
        <v>0</v>
      </c>
      <c r="H8" s="15">
        <f>G8*F8</f>
      </c>
      <c r="I8" s="17">
        <f>IF($H$2&gt;45000, D8*G8, IF($H$2&gt;15000, E8*G8, F8*G8)) </f>
      </c>
      <c r="J8" s="15" t="s">
        <v>38</v>
      </c>
      <c r="K8" t="s">
        <v>61</v>
      </c>
    </row>
    <row r="9" outlineLevel="1">
      <c r="A9" s="15" t="s">
        <v>62</v>
      </c>
      <c r="B9" s="15" t="s">
        <v>63</v>
      </c>
      <c r="C9" s="15" t="s">
        <v>38</v>
      </c>
      <c r="D9" s="16">
        <v>72</v>
      </c>
      <c r="E9" s="16">
        <v>79</v>
      </c>
      <c r="F9" s="16">
        <v>86</v>
      </c>
      <c r="G9" s="17">
        <v>0</v>
      </c>
      <c r="H9" s="15">
        <f>G9*F9</f>
      </c>
      <c r="I9" s="17">
        <f>IF($H$2&gt;45000, D9*G9, IF($H$2&gt;15000, E9*G9, F9*G9)) </f>
      </c>
      <c r="J9" s="15" t="s">
        <v>38</v>
      </c>
      <c r="K9" t="s">
        <v>64</v>
      </c>
    </row>
    <row r="10" outlineLevel="1">
      <c r="A10" s="15" t="s">
        <v>65</v>
      </c>
      <c r="B10" s="15" t="s">
        <v>66</v>
      </c>
      <c r="C10" s="15" t="s">
        <v>38</v>
      </c>
      <c r="D10" s="16">
        <v>63</v>
      </c>
      <c r="E10" s="16">
        <v>69</v>
      </c>
      <c r="F10" s="16">
        <v>76</v>
      </c>
      <c r="G10" s="17">
        <v>0</v>
      </c>
      <c r="H10" s="15">
        <f>G10*F10</f>
      </c>
      <c r="I10" s="17">
        <f>IF($H$2&gt;45000, D10*G10, IF($H$2&gt;15000, E10*G10, F10*G10)) </f>
      </c>
      <c r="J10" s="15" t="s">
        <v>38</v>
      </c>
      <c r="K10" t="s">
        <v>67</v>
      </c>
    </row>
    <row r="11" outlineLevel="1">
      <c r="A11" s="15" t="s">
        <v>68</v>
      </c>
      <c r="B11" s="15" t="s">
        <v>69</v>
      </c>
      <c r="C11" s="15" t="s">
        <v>38</v>
      </c>
      <c r="D11" s="16">
        <v>70</v>
      </c>
      <c r="E11" s="16">
        <v>77</v>
      </c>
      <c r="F11" s="16">
        <v>84</v>
      </c>
      <c r="G11" s="17">
        <v>0</v>
      </c>
      <c r="H11" s="15">
        <f>G11*F11</f>
      </c>
      <c r="I11" s="17">
        <f>IF($H$2&gt;45000, D11*G11, IF($H$2&gt;15000, E11*G11, F11*G11)) </f>
      </c>
      <c r="J11" s="15" t="s">
        <v>38</v>
      </c>
      <c r="K11" t="s">
        <v>70</v>
      </c>
    </row>
    <row r="12" outlineLevel="1">
      <c r="A12" s="15" t="s">
        <v>71</v>
      </c>
      <c r="B12" s="15" t="s">
        <v>72</v>
      </c>
      <c r="C12" s="15" t="s">
        <v>38</v>
      </c>
      <c r="D12" s="16">
        <v>79</v>
      </c>
      <c r="E12" s="16">
        <v>86</v>
      </c>
      <c r="F12" s="16">
        <v>95</v>
      </c>
      <c r="G12" s="17">
        <v>0</v>
      </c>
      <c r="H12" s="15">
        <f>G12*F12</f>
      </c>
      <c r="I12" s="17">
        <f>IF($H$2&gt;45000, D12*G12, IF($H$2&gt;15000, E12*G12, F12*G12)) </f>
      </c>
      <c r="J12" s="15" t="s">
        <v>38</v>
      </c>
      <c r="K12" t="s">
        <v>73</v>
      </c>
    </row>
    <row r="13" outlineLevel="1">
      <c r="A13" s="15" t="s">
        <v>74</v>
      </c>
      <c r="B13" s="15" t="s">
        <v>75</v>
      </c>
      <c r="C13" s="15" t="s">
        <v>38</v>
      </c>
      <c r="D13" s="16">
        <v>70</v>
      </c>
      <c r="E13" s="16">
        <v>77</v>
      </c>
      <c r="F13" s="16">
        <v>84</v>
      </c>
      <c r="G13" s="17">
        <v>0</v>
      </c>
      <c r="H13" s="15">
        <f>G13*F13</f>
      </c>
      <c r="I13" s="17">
        <f>IF($H$2&gt;45000, D13*G13, IF($H$2&gt;15000, E13*G13, F13*G13)) </f>
      </c>
      <c r="J13" s="15" t="s">
        <v>38</v>
      </c>
      <c r="K13" t="s">
        <v>76</v>
      </c>
    </row>
    <row r="14" outlineLevel="1">
      <c r="A14" s="15" t="s">
        <v>77</v>
      </c>
      <c r="B14" s="15" t="s">
        <v>78</v>
      </c>
      <c r="C14" s="15" t="s">
        <v>38</v>
      </c>
      <c r="D14" s="16">
        <v>63</v>
      </c>
      <c r="E14" s="16">
        <v>69</v>
      </c>
      <c r="F14" s="16">
        <v>76</v>
      </c>
      <c r="G14" s="17">
        <v>0</v>
      </c>
      <c r="H14" s="15">
        <f>G14*F14</f>
      </c>
      <c r="I14" s="17">
        <f>IF($H$2&gt;45000, D14*G14, IF($H$2&gt;15000, E14*G14, F14*G14)) </f>
      </c>
      <c r="J14" s="15" t="s">
        <v>38</v>
      </c>
      <c r="K14" t="s">
        <v>79</v>
      </c>
    </row>
    <row r="15" outlineLevel="1">
      <c r="A15" s="15" t="s">
        <v>80</v>
      </c>
      <c r="B15" s="15" t="s">
        <v>81</v>
      </c>
      <c r="C15" s="15" t="s">
        <v>38</v>
      </c>
      <c r="D15" s="16">
        <v>63</v>
      </c>
      <c r="E15" s="16">
        <v>69</v>
      </c>
      <c r="F15" s="16">
        <v>76</v>
      </c>
      <c r="G15" s="17">
        <v>0</v>
      </c>
      <c r="H15" s="15">
        <f>G15*F15</f>
      </c>
      <c r="I15" s="17">
        <f>IF($H$2&gt;45000, D15*G15, IF($H$2&gt;15000, E15*G15, F15*G15)) </f>
      </c>
      <c r="J15" s="15" t="s">
        <v>38</v>
      </c>
      <c r="K15" t="s">
        <v>82</v>
      </c>
    </row>
    <row r="16" outlineLevel="1">
      <c r="A16" s="15" t="s">
        <v>83</v>
      </c>
      <c r="B16" s="15" t="s">
        <v>84</v>
      </c>
      <c r="C16" s="15" t="s">
        <v>38</v>
      </c>
      <c r="D16" s="16">
        <v>79</v>
      </c>
      <c r="E16" s="16">
        <v>86</v>
      </c>
      <c r="F16" s="16">
        <v>95</v>
      </c>
      <c r="G16" s="17">
        <v>0</v>
      </c>
      <c r="H16" s="15">
        <f>G16*F16</f>
      </c>
      <c r="I16" s="17">
        <f>IF($H$2&gt;45000, D16*G16, IF($H$2&gt;15000, E16*G16, F16*G16)) </f>
      </c>
      <c r="J16" s="15" t="s">
        <v>38</v>
      </c>
      <c r="K16" t="s">
        <v>85</v>
      </c>
    </row>
    <row r="17" outlineLevel="1">
      <c r="A17" s="15" t="s">
        <v>86</v>
      </c>
      <c r="B17" s="15" t="s">
        <v>87</v>
      </c>
      <c r="C17" s="15" t="s">
        <v>38</v>
      </c>
      <c r="D17" s="16">
        <v>63</v>
      </c>
      <c r="E17" s="16">
        <v>69</v>
      </c>
      <c r="F17" s="16">
        <v>76</v>
      </c>
      <c r="G17" s="17">
        <v>0</v>
      </c>
      <c r="H17" s="15">
        <f>G17*F17</f>
      </c>
      <c r="I17" s="17">
        <f>IF($H$2&gt;45000, D17*G17, IF($H$2&gt;15000, E17*G17, F17*G17)) </f>
      </c>
      <c r="J17" s="15" t="s">
        <v>38</v>
      </c>
      <c r="K17" t="s">
        <v>88</v>
      </c>
    </row>
    <row r="18" outlineLevel="1">
      <c r="A18" s="15" t="s">
        <v>89</v>
      </c>
      <c r="B18" s="15" t="s">
        <v>90</v>
      </c>
      <c r="C18" s="15" t="s">
        <v>38</v>
      </c>
      <c r="D18" s="16">
        <v>63</v>
      </c>
      <c r="E18" s="16">
        <v>69</v>
      </c>
      <c r="F18" s="16">
        <v>76</v>
      </c>
      <c r="G18" s="17">
        <v>0</v>
      </c>
      <c r="H18" s="15">
        <f>G18*F18</f>
      </c>
      <c r="I18" s="17">
        <f>IF($H$2&gt;45000, D18*G18, IF($H$2&gt;15000, E18*G18, F18*G18)) </f>
      </c>
      <c r="J18" s="15" t="s">
        <v>38</v>
      </c>
      <c r="K18" t="s">
        <v>91</v>
      </c>
    </row>
    <row r="19" outlineLevel="1">
      <c r="A19" s="15" t="s">
        <v>92</v>
      </c>
      <c r="B19" s="15" t="s">
        <v>93</v>
      </c>
      <c r="C19" s="15" t="s">
        <v>38</v>
      </c>
      <c r="D19" s="16">
        <v>63</v>
      </c>
      <c r="E19" s="16">
        <v>69</v>
      </c>
      <c r="F19" s="16">
        <v>76</v>
      </c>
      <c r="G19" s="17">
        <v>0</v>
      </c>
      <c r="H19" s="15">
        <f>G19*F19</f>
      </c>
      <c r="I19" s="17">
        <f>IF($H$2&gt;45000, D19*G19, IF($H$2&gt;15000, E19*G19, F19*G19)) </f>
      </c>
      <c r="J19" s="15" t="s">
        <v>38</v>
      </c>
      <c r="K19" t="s">
        <v>94</v>
      </c>
    </row>
    <row r="20" outlineLevel="1">
      <c r="A20" s="15" t="s">
        <v>95</v>
      </c>
      <c r="B20" s="15" t="s">
        <v>96</v>
      </c>
      <c r="C20" s="15" t="s">
        <v>38</v>
      </c>
      <c r="D20" s="16">
        <v>63</v>
      </c>
      <c r="E20" s="16">
        <v>69</v>
      </c>
      <c r="F20" s="16">
        <v>76</v>
      </c>
      <c r="G20" s="17">
        <v>0</v>
      </c>
      <c r="H20" s="15">
        <f>G20*F20</f>
      </c>
      <c r="I20" s="17">
        <f>IF($H$2&gt;45000, D20*G20, IF($H$2&gt;15000, E20*G20, F20*G20)) </f>
      </c>
      <c r="J20" s="15" t="s">
        <v>38</v>
      </c>
      <c r="K20" t="s">
        <v>97</v>
      </c>
    </row>
    <row r="21" outlineLevel="1">
      <c r="A21" s="15" t="s">
        <v>98</v>
      </c>
      <c r="B21" s="15" t="s">
        <v>99</v>
      </c>
      <c r="C21" s="15" t="s">
        <v>38</v>
      </c>
      <c r="D21" s="16">
        <v>63</v>
      </c>
      <c r="E21" s="16">
        <v>69</v>
      </c>
      <c r="F21" s="16">
        <v>76</v>
      </c>
      <c r="G21" s="17">
        <v>0</v>
      </c>
      <c r="H21" s="15">
        <f>G21*F21</f>
      </c>
      <c r="I21" s="17">
        <f>IF($H$2&gt;45000, D21*G21, IF($H$2&gt;15000, E21*G21, F21*G21)) </f>
      </c>
      <c r="J21" s="15" t="s">
        <v>38</v>
      </c>
      <c r="K21" t="s">
        <v>100</v>
      </c>
    </row>
    <row r="22" outlineLevel="1">
      <c r="A22" s="15" t="s">
        <v>101</v>
      </c>
      <c r="B22" s="15" t="s">
        <v>102</v>
      </c>
      <c r="C22" s="15" t="s">
        <v>38</v>
      </c>
      <c r="D22" s="16">
        <v>63</v>
      </c>
      <c r="E22" s="16">
        <v>69</v>
      </c>
      <c r="F22" s="16">
        <v>76</v>
      </c>
      <c r="G22" s="17">
        <v>0</v>
      </c>
      <c r="H22" s="15">
        <f>G22*F22</f>
      </c>
      <c r="I22" s="17">
        <f>IF($H$2&gt;45000, D22*G22, IF($H$2&gt;15000, E22*G22, F22*G22)) </f>
      </c>
      <c r="J22" s="15" t="s">
        <v>38</v>
      </c>
      <c r="K22" t="s">
        <v>103</v>
      </c>
    </row>
    <row r="23" outlineLevel="1">
      <c r="A23" s="15" t="s">
        <v>104</v>
      </c>
      <c r="B23" s="15" t="s">
        <v>105</v>
      </c>
      <c r="C23" s="15" t="s">
        <v>38</v>
      </c>
      <c r="D23" s="16">
        <v>63</v>
      </c>
      <c r="E23" s="16">
        <v>69</v>
      </c>
      <c r="F23" s="16">
        <v>76</v>
      </c>
      <c r="G23" s="17">
        <v>0</v>
      </c>
      <c r="H23" s="15">
        <f>G23*F23</f>
      </c>
      <c r="I23" s="17">
        <f>IF($H$2&gt;45000, D23*G23, IF($H$2&gt;15000, E23*G23, F23*G23)) </f>
      </c>
      <c r="J23" s="15" t="s">
        <v>38</v>
      </c>
      <c r="K23" t="s">
        <v>106</v>
      </c>
    </row>
    <row r="24" outlineLevel="1">
      <c r="A24" s="15" t="s">
        <v>107</v>
      </c>
      <c r="B24" s="15" t="s">
        <v>108</v>
      </c>
      <c r="C24" s="15" t="s">
        <v>38</v>
      </c>
      <c r="D24" s="16">
        <v>63</v>
      </c>
      <c r="E24" s="16">
        <v>69</v>
      </c>
      <c r="F24" s="16">
        <v>76</v>
      </c>
      <c r="G24" s="17">
        <v>0</v>
      </c>
      <c r="H24" s="15">
        <f>G24*F24</f>
      </c>
      <c r="I24" s="17">
        <f>IF($H$2&gt;45000, D24*G24, IF($H$2&gt;15000, E24*G24, F24*G24)) </f>
      </c>
      <c r="J24" s="15" t="s">
        <v>38</v>
      </c>
      <c r="K24" t="s">
        <v>109</v>
      </c>
    </row>
    <row r="25" outlineLevel="1">
      <c r="A25" s="15" t="s">
        <v>110</v>
      </c>
      <c r="B25" s="15" t="s">
        <v>111</v>
      </c>
      <c r="C25" s="15" t="s">
        <v>38</v>
      </c>
      <c r="D25" s="16">
        <v>72</v>
      </c>
      <c r="E25" s="16">
        <v>79</v>
      </c>
      <c r="F25" s="16">
        <v>86</v>
      </c>
      <c r="G25" s="17">
        <v>0</v>
      </c>
      <c r="H25" s="15">
        <f>G25*F25</f>
      </c>
      <c r="I25" s="17">
        <f>IF($H$2&gt;45000, D25*G25, IF($H$2&gt;15000, E25*G25, F25*G25)) </f>
      </c>
      <c r="J25" s="15" t="s">
        <v>38</v>
      </c>
      <c r="K25" t="s">
        <v>112</v>
      </c>
    </row>
    <row r="26" outlineLevel="1">
      <c r="A26" s="15" t="s">
        <v>113</v>
      </c>
      <c r="B26" s="15" t="s">
        <v>114</v>
      </c>
      <c r="C26" s="15" t="s">
        <v>38</v>
      </c>
      <c r="D26" s="16">
        <v>72</v>
      </c>
      <c r="E26" s="16">
        <v>79</v>
      </c>
      <c r="F26" s="16">
        <v>86</v>
      </c>
      <c r="G26" s="17">
        <v>0</v>
      </c>
      <c r="H26" s="15">
        <f>G26*F26</f>
      </c>
      <c r="I26" s="17">
        <f>IF($H$2&gt;45000, D26*G26, IF($H$2&gt;15000, E26*G26, F26*G26)) </f>
      </c>
      <c r="J26" s="15" t="s">
        <v>38</v>
      </c>
      <c r="K26" t="s">
        <v>115</v>
      </c>
    </row>
    <row r="27" outlineLevel="1">
      <c r="A27" s="15" t="s">
        <v>116</v>
      </c>
      <c r="B27" s="15" t="s">
        <v>117</v>
      </c>
      <c r="C27" s="15" t="s">
        <v>38</v>
      </c>
      <c r="D27" s="16">
        <v>63</v>
      </c>
      <c r="E27" s="16">
        <v>69</v>
      </c>
      <c r="F27" s="16">
        <v>76</v>
      </c>
      <c r="G27" s="17">
        <v>0</v>
      </c>
      <c r="H27" s="15">
        <f>G27*F27</f>
      </c>
      <c r="I27" s="17">
        <f>IF($H$2&gt;45000, D27*G27, IF($H$2&gt;15000, E27*G27, F27*G27)) </f>
      </c>
      <c r="J27" s="15" t="s">
        <v>38</v>
      </c>
      <c r="K27" t="s">
        <v>118</v>
      </c>
    </row>
    <row r="28" outlineLevel="1">
      <c r="A28" s="15" t="s">
        <v>119</v>
      </c>
      <c r="B28" s="15" t="s">
        <v>120</v>
      </c>
      <c r="C28" s="15" t="s">
        <v>38</v>
      </c>
      <c r="D28" s="16">
        <v>72</v>
      </c>
      <c r="E28" s="16">
        <v>79</v>
      </c>
      <c r="F28" s="16">
        <v>86</v>
      </c>
      <c r="G28" s="17">
        <v>0</v>
      </c>
      <c r="H28" s="15">
        <f>G28*F28</f>
      </c>
      <c r="I28" s="17">
        <f>IF($H$2&gt;45000, D28*G28, IF($H$2&gt;15000, E28*G28, F28*G28)) </f>
      </c>
      <c r="J28" s="15" t="s">
        <v>38</v>
      </c>
      <c r="K28" t="s">
        <v>121</v>
      </c>
    </row>
    <row r="29" outlineLevel="1">
      <c r="A29" s="15" t="s">
        <v>122</v>
      </c>
      <c r="B29" s="15" t="s">
        <v>123</v>
      </c>
      <c r="C29" s="15" t="s">
        <v>38</v>
      </c>
      <c r="D29" s="16">
        <v>63</v>
      </c>
      <c r="E29" s="16">
        <v>69</v>
      </c>
      <c r="F29" s="16">
        <v>76</v>
      </c>
      <c r="G29" s="17">
        <v>0</v>
      </c>
      <c r="H29" s="15">
        <f>G29*F29</f>
      </c>
      <c r="I29" s="17">
        <f>IF($H$2&gt;45000, D29*G29, IF($H$2&gt;15000, E29*G29, F29*G29)) </f>
      </c>
      <c r="J29" s="15" t="s">
        <v>38</v>
      </c>
      <c r="K29" t="s">
        <v>124</v>
      </c>
    </row>
    <row r="30" outlineLevel="1">
      <c r="A30" s="15" t="s">
        <v>125</v>
      </c>
      <c r="B30" s="15" t="s">
        <v>126</v>
      </c>
      <c r="C30" s="15" t="s">
        <v>38</v>
      </c>
      <c r="D30" s="16">
        <v>63</v>
      </c>
      <c r="E30" s="16">
        <v>69</v>
      </c>
      <c r="F30" s="16">
        <v>76</v>
      </c>
      <c r="G30" s="17">
        <v>0</v>
      </c>
      <c r="H30" s="15">
        <f>G30*F30</f>
      </c>
      <c r="I30" s="17">
        <f>IF($H$2&gt;45000, D30*G30, IF($H$2&gt;15000, E30*G30, F30*G30)) </f>
      </c>
      <c r="J30" s="15" t="s">
        <v>38</v>
      </c>
      <c r="K30" t="s">
        <v>127</v>
      </c>
    </row>
    <row r="31" outlineLevel="1">
      <c r="A31" s="15" t="s">
        <v>128</v>
      </c>
      <c r="B31" s="15" t="s">
        <v>129</v>
      </c>
      <c r="C31" s="15" t="s">
        <v>38</v>
      </c>
      <c r="D31" s="16">
        <v>63</v>
      </c>
      <c r="E31" s="16">
        <v>69</v>
      </c>
      <c r="F31" s="16">
        <v>76</v>
      </c>
      <c r="G31" s="17">
        <v>0</v>
      </c>
      <c r="H31" s="15">
        <f>G31*F31</f>
      </c>
      <c r="I31" s="17">
        <f>IF($H$2&gt;45000, D31*G31, IF($H$2&gt;15000, E31*G31, F31*G31)) </f>
      </c>
      <c r="J31" s="15" t="s">
        <v>38</v>
      </c>
      <c r="K31" t="s">
        <v>130</v>
      </c>
    </row>
    <row r="32" outlineLevel="1">
      <c r="A32" s="15" t="s">
        <v>131</v>
      </c>
      <c r="B32" s="15" t="s">
        <v>132</v>
      </c>
      <c r="C32" s="15" t="s">
        <v>38</v>
      </c>
      <c r="D32" s="16">
        <v>63</v>
      </c>
      <c r="E32" s="16">
        <v>69</v>
      </c>
      <c r="F32" s="16">
        <v>76</v>
      </c>
      <c r="G32" s="17">
        <v>0</v>
      </c>
      <c r="H32" s="15">
        <f>G32*F32</f>
      </c>
      <c r="I32" s="17">
        <f>IF($H$2&gt;45000, D32*G32, IF($H$2&gt;15000, E32*G32, F32*G32)) </f>
      </c>
      <c r="J32" s="15" t="s">
        <v>38</v>
      </c>
      <c r="K32" t="s">
        <v>133</v>
      </c>
    </row>
    <row r="33" outlineLevel="1">
      <c r="A33" s="15" t="s">
        <v>134</v>
      </c>
      <c r="B33" s="15" t="s">
        <v>135</v>
      </c>
      <c r="C33" s="15" t="s">
        <v>38</v>
      </c>
      <c r="D33" s="16">
        <v>63</v>
      </c>
      <c r="E33" s="16">
        <v>69</v>
      </c>
      <c r="F33" s="16">
        <v>76</v>
      </c>
      <c r="G33" s="17">
        <v>0</v>
      </c>
      <c r="H33" s="15">
        <f>G33*F33</f>
      </c>
      <c r="I33" s="17">
        <f>IF($H$2&gt;45000, D33*G33, IF($H$2&gt;15000, E33*G33, F33*G33)) </f>
      </c>
      <c r="J33" s="15" t="s">
        <v>38</v>
      </c>
      <c r="K33" t="s">
        <v>136</v>
      </c>
    </row>
    <row r="34" outlineLevel="1">
      <c r="A34" s="15" t="s">
        <v>137</v>
      </c>
      <c r="B34" s="15" t="s">
        <v>138</v>
      </c>
      <c r="C34" s="15" t="s">
        <v>38</v>
      </c>
      <c r="D34" s="16">
        <v>63</v>
      </c>
      <c r="E34" s="16">
        <v>69</v>
      </c>
      <c r="F34" s="16">
        <v>76</v>
      </c>
      <c r="G34" s="17">
        <v>0</v>
      </c>
      <c r="H34" s="15">
        <f>G34*F34</f>
      </c>
      <c r="I34" s="17">
        <f>IF($H$2&gt;45000, D34*G34, IF($H$2&gt;15000, E34*G34, F34*G34)) </f>
      </c>
      <c r="J34" s="15" t="s">
        <v>38</v>
      </c>
      <c r="K34" t="s">
        <v>139</v>
      </c>
    </row>
    <row r="35" outlineLevel="1">
      <c r="A35" s="15" t="s">
        <v>140</v>
      </c>
      <c r="B35" s="15" t="s">
        <v>141</v>
      </c>
      <c r="C35" s="15" t="s">
        <v>38</v>
      </c>
      <c r="D35" s="16">
        <v>63</v>
      </c>
      <c r="E35" s="16">
        <v>69</v>
      </c>
      <c r="F35" s="16">
        <v>76</v>
      </c>
      <c r="G35" s="17">
        <v>0</v>
      </c>
      <c r="H35" s="15">
        <f>G35*F35</f>
      </c>
      <c r="I35" s="17">
        <f>IF($H$2&gt;45000, D35*G35, IF($H$2&gt;15000, E35*G35, F35*G35)) </f>
      </c>
      <c r="J35" s="15" t="s">
        <v>38</v>
      </c>
      <c r="K35" t="s">
        <v>142</v>
      </c>
    </row>
    <row r="36" outlineLevel="1">
      <c r="A36" s="15" t="s">
        <v>143</v>
      </c>
      <c r="B36" s="15" t="s">
        <v>144</v>
      </c>
      <c r="C36" s="15" t="s">
        <v>38</v>
      </c>
      <c r="D36" s="16">
        <v>63</v>
      </c>
      <c r="E36" s="16">
        <v>69</v>
      </c>
      <c r="F36" s="16">
        <v>76</v>
      </c>
      <c r="G36" s="17">
        <v>0</v>
      </c>
      <c r="H36" s="15">
        <f>G36*F36</f>
      </c>
      <c r="I36" s="17">
        <f>IF($H$2&gt;45000, D36*G36, IF($H$2&gt;15000, E36*G36, F36*G36)) </f>
      </c>
      <c r="J36" s="15" t="s">
        <v>38</v>
      </c>
      <c r="K36" t="s">
        <v>145</v>
      </c>
    </row>
    <row r="37" outlineLevel="1">
      <c r="A37" s="15" t="s">
        <v>146</v>
      </c>
      <c r="B37" s="15" t="s">
        <v>147</v>
      </c>
      <c r="C37" s="15" t="s">
        <v>38</v>
      </c>
      <c r="D37" s="16">
        <v>63</v>
      </c>
      <c r="E37" s="16">
        <v>69</v>
      </c>
      <c r="F37" s="16">
        <v>76</v>
      </c>
      <c r="G37" s="17">
        <v>0</v>
      </c>
      <c r="H37" s="15">
        <f>G37*F37</f>
      </c>
      <c r="I37" s="17">
        <f>IF($H$2&gt;45000, D37*G37, IF($H$2&gt;15000, E37*G37, F37*G37)) </f>
      </c>
      <c r="J37" s="15" t="s">
        <v>38</v>
      </c>
      <c r="K37" t="s">
        <v>148</v>
      </c>
    </row>
    <row r="38" outlineLevel="1">
      <c r="A38" s="15" t="s">
        <v>149</v>
      </c>
      <c r="B38" s="15" t="s">
        <v>150</v>
      </c>
      <c r="C38" s="15" t="s">
        <v>38</v>
      </c>
      <c r="D38" s="16">
        <v>70</v>
      </c>
      <c r="E38" s="16">
        <v>77</v>
      </c>
      <c r="F38" s="16">
        <v>84</v>
      </c>
      <c r="G38" s="17">
        <v>0</v>
      </c>
      <c r="H38" s="15">
        <f>G38*F38</f>
      </c>
      <c r="I38" s="17">
        <f>IF($H$2&gt;45000, D38*G38, IF($H$2&gt;15000, E38*G38, F38*G38)) </f>
      </c>
      <c r="J38" s="15" t="s">
        <v>38</v>
      </c>
      <c r="K38" t="s">
        <v>151</v>
      </c>
    </row>
    <row r="39" outlineLevel="1">
      <c r="A39" s="15" t="s">
        <v>152</v>
      </c>
      <c r="B39" s="15" t="s">
        <v>153</v>
      </c>
      <c r="C39" s="15" t="s">
        <v>38</v>
      </c>
      <c r="D39" s="16">
        <v>63</v>
      </c>
      <c r="E39" s="16">
        <v>69</v>
      </c>
      <c r="F39" s="16">
        <v>76</v>
      </c>
      <c r="G39" s="17">
        <v>0</v>
      </c>
      <c r="H39" s="15">
        <f>G39*F39</f>
      </c>
      <c r="I39" s="17">
        <f>IF($H$2&gt;45000, D39*G39, IF($H$2&gt;15000, E39*G39, F39*G39)) </f>
      </c>
      <c r="J39" s="15" t="s">
        <v>38</v>
      </c>
      <c r="K39" t="s">
        <v>154</v>
      </c>
    </row>
    <row r="40" outlineLevel="1">
      <c r="A40" s="15" t="s">
        <v>155</v>
      </c>
      <c r="B40" s="15" t="s">
        <v>156</v>
      </c>
      <c r="C40" s="15" t="s">
        <v>38</v>
      </c>
      <c r="D40" s="16">
        <v>63</v>
      </c>
      <c r="E40" s="16">
        <v>69</v>
      </c>
      <c r="F40" s="16">
        <v>76</v>
      </c>
      <c r="G40" s="17">
        <v>0</v>
      </c>
      <c r="H40" s="15">
        <f>G40*F40</f>
      </c>
      <c r="I40" s="17">
        <f>IF($H$2&gt;45000, D40*G40, IF($H$2&gt;15000, E40*G40, F40*G40)) </f>
      </c>
      <c r="J40" s="15" t="s">
        <v>38</v>
      </c>
      <c r="K40" t="s">
        <v>157</v>
      </c>
    </row>
    <row r="41" outlineLevel="1">
      <c r="A41" s="15" t="s">
        <v>158</v>
      </c>
      <c r="B41" s="15" t="s">
        <v>159</v>
      </c>
      <c r="C41" s="15" t="s">
        <v>38</v>
      </c>
      <c r="D41" s="16">
        <v>63</v>
      </c>
      <c r="E41" s="16">
        <v>69</v>
      </c>
      <c r="F41" s="16">
        <v>76</v>
      </c>
      <c r="G41" s="17">
        <v>0</v>
      </c>
      <c r="H41" s="15">
        <f>G41*F41</f>
      </c>
      <c r="I41" s="17">
        <f>IF($H$2&gt;45000, D41*G41, IF($H$2&gt;15000, E41*G41, F41*G41)) </f>
      </c>
      <c r="J41" s="15" t="s">
        <v>38</v>
      </c>
      <c r="K41" t="s">
        <v>160</v>
      </c>
    </row>
    <row r="42" outlineLevel="1">
      <c r="A42" s="15" t="s">
        <v>161</v>
      </c>
      <c r="B42" s="15" t="s">
        <v>162</v>
      </c>
      <c r="C42" s="15" t="s">
        <v>38</v>
      </c>
      <c r="D42" s="16">
        <v>63</v>
      </c>
      <c r="E42" s="16">
        <v>69</v>
      </c>
      <c r="F42" s="16">
        <v>76</v>
      </c>
      <c r="G42" s="17">
        <v>0</v>
      </c>
      <c r="H42" s="15">
        <f>G42*F42</f>
      </c>
      <c r="I42" s="17">
        <f>IF($H$2&gt;45000, D42*G42, IF($H$2&gt;15000, E42*G42, F42*G42)) </f>
      </c>
      <c r="J42" s="15" t="s">
        <v>38</v>
      </c>
      <c r="K42" t="s">
        <v>163</v>
      </c>
    </row>
    <row r="43" outlineLevel="1">
      <c r="A43" s="15" t="s">
        <v>164</v>
      </c>
      <c r="B43" s="15" t="s">
        <v>165</v>
      </c>
      <c r="C43" s="15" t="s">
        <v>38</v>
      </c>
      <c r="D43" s="16">
        <v>63</v>
      </c>
      <c r="E43" s="16">
        <v>69</v>
      </c>
      <c r="F43" s="16">
        <v>76</v>
      </c>
      <c r="G43" s="17">
        <v>0</v>
      </c>
      <c r="H43" s="15">
        <f>G43*F43</f>
      </c>
      <c r="I43" s="17">
        <f>IF($H$2&gt;45000, D43*G43, IF($H$2&gt;15000, E43*G43, F43*G43)) </f>
      </c>
      <c r="J43" s="15" t="s">
        <v>38</v>
      </c>
      <c r="K43" t="s">
        <v>166</v>
      </c>
    </row>
    <row r="44" outlineLevel="1">
      <c r="A44" s="15" t="s">
        <v>167</v>
      </c>
      <c r="B44" s="15" t="s">
        <v>168</v>
      </c>
      <c r="C44" s="15" t="s">
        <v>38</v>
      </c>
      <c r="D44" s="16">
        <v>63</v>
      </c>
      <c r="E44" s="16">
        <v>69</v>
      </c>
      <c r="F44" s="16">
        <v>76</v>
      </c>
      <c r="G44" s="17">
        <v>0</v>
      </c>
      <c r="H44" s="15">
        <f>G44*F44</f>
      </c>
      <c r="I44" s="17">
        <f>IF($H$2&gt;45000, D44*G44, IF($H$2&gt;15000, E44*G44, F44*G44)) </f>
      </c>
      <c r="J44" s="15" t="s">
        <v>38</v>
      </c>
      <c r="K44" t="s">
        <v>169</v>
      </c>
    </row>
    <row r="45" outlineLevel="1">
      <c r="A45" s="15" t="s">
        <v>170</v>
      </c>
      <c r="B45" s="15" t="s">
        <v>171</v>
      </c>
      <c r="C45" s="15" t="s">
        <v>38</v>
      </c>
      <c r="D45" s="16">
        <v>72</v>
      </c>
      <c r="E45" s="16">
        <v>79</v>
      </c>
      <c r="F45" s="16">
        <v>86</v>
      </c>
      <c r="G45" s="17">
        <v>0</v>
      </c>
      <c r="H45" s="15">
        <f>G45*F45</f>
      </c>
      <c r="I45" s="17">
        <f>IF($H$2&gt;45000, D45*G45, IF($H$2&gt;15000, E45*G45, F45*G45)) </f>
      </c>
      <c r="J45" s="15" t="s">
        <v>38</v>
      </c>
      <c r="K45" t="s">
        <v>172</v>
      </c>
    </row>
    <row r="46" outlineLevel="1">
      <c r="A46" s="15" t="s">
        <v>173</v>
      </c>
      <c r="B46" s="15" t="s">
        <v>174</v>
      </c>
      <c r="C46" s="15" t="s">
        <v>38</v>
      </c>
      <c r="D46" s="16">
        <v>63</v>
      </c>
      <c r="E46" s="16">
        <v>69</v>
      </c>
      <c r="F46" s="16">
        <v>76</v>
      </c>
      <c r="G46" s="17">
        <v>0</v>
      </c>
      <c r="H46" s="15">
        <f>G46*F46</f>
      </c>
      <c r="I46" s="17">
        <f>IF($H$2&gt;45000, D46*G46, IF($H$2&gt;15000, E46*G46, F46*G46)) </f>
      </c>
      <c r="J46" s="15" t="s">
        <v>38</v>
      </c>
      <c r="K46" t="s">
        <v>175</v>
      </c>
    </row>
    <row r="47" outlineLevel="1">
      <c r="A47" s="15" t="s">
        <v>176</v>
      </c>
      <c r="B47" s="15" t="s">
        <v>177</v>
      </c>
      <c r="C47" s="15" t="s">
        <v>38</v>
      </c>
      <c r="D47" s="16">
        <v>63</v>
      </c>
      <c r="E47" s="16">
        <v>69</v>
      </c>
      <c r="F47" s="16">
        <v>76</v>
      </c>
      <c r="G47" s="17">
        <v>0</v>
      </c>
      <c r="H47" s="15">
        <f>G47*F47</f>
      </c>
      <c r="I47" s="17">
        <f>IF($H$2&gt;45000, D47*G47, IF($H$2&gt;15000, E47*G47, F47*G47)) </f>
      </c>
      <c r="J47" s="15" t="s">
        <v>38</v>
      </c>
      <c r="K47" t="s">
        <v>178</v>
      </c>
    </row>
    <row r="48" outlineLevel="1">
      <c r="A48" s="15" t="s">
        <v>179</v>
      </c>
      <c r="B48" s="15" t="s">
        <v>180</v>
      </c>
      <c r="C48" s="15" t="s">
        <v>38</v>
      </c>
      <c r="D48" s="16">
        <v>63</v>
      </c>
      <c r="E48" s="16">
        <v>69</v>
      </c>
      <c r="F48" s="16">
        <v>76</v>
      </c>
      <c r="G48" s="17">
        <v>0</v>
      </c>
      <c r="H48" s="15">
        <f>G48*F48</f>
      </c>
      <c r="I48" s="17">
        <f>IF($H$2&gt;45000, D48*G48, IF($H$2&gt;15000, E48*G48, F48*G48)) </f>
      </c>
      <c r="J48" s="15" t="s">
        <v>38</v>
      </c>
      <c r="K48" t="s">
        <v>181</v>
      </c>
    </row>
    <row r="49" outlineLevel="1">
      <c r="A49" s="15" t="s">
        <v>182</v>
      </c>
      <c r="B49" s="15" t="s">
        <v>183</v>
      </c>
      <c r="C49" s="15" t="s">
        <v>38</v>
      </c>
      <c r="D49" s="16">
        <v>63</v>
      </c>
      <c r="E49" s="16">
        <v>69</v>
      </c>
      <c r="F49" s="16">
        <v>76</v>
      </c>
      <c r="G49" s="17">
        <v>0</v>
      </c>
      <c r="H49" s="15">
        <f>G49*F49</f>
      </c>
      <c r="I49" s="17">
        <f>IF($H$2&gt;45000, D49*G49, IF($H$2&gt;15000, E49*G49, F49*G49)) </f>
      </c>
      <c r="J49" s="15" t="s">
        <v>38</v>
      </c>
      <c r="K49" t="s">
        <v>184</v>
      </c>
    </row>
    <row r="50" outlineLevel="1">
      <c r="A50" s="15" t="s">
        <v>185</v>
      </c>
      <c r="B50" s="15" t="s">
        <v>186</v>
      </c>
      <c r="C50" s="15" t="s">
        <v>38</v>
      </c>
      <c r="D50" s="16">
        <v>63</v>
      </c>
      <c r="E50" s="16">
        <v>69</v>
      </c>
      <c r="F50" s="16">
        <v>76</v>
      </c>
      <c r="G50" s="17">
        <v>0</v>
      </c>
      <c r="H50" s="15">
        <f>G50*F50</f>
      </c>
      <c r="I50" s="17">
        <f>IF($H$2&gt;45000, D50*G50, IF($H$2&gt;15000, E50*G50, F50*G50)) </f>
      </c>
      <c r="J50" s="15" t="s">
        <v>38</v>
      </c>
      <c r="K50" t="s">
        <v>187</v>
      </c>
    </row>
    <row r="51" outlineLevel="1">
      <c r="A51" s="15" t="s">
        <v>188</v>
      </c>
      <c r="B51" s="15" t="s">
        <v>189</v>
      </c>
      <c r="C51" s="15" t="s">
        <v>38</v>
      </c>
      <c r="D51" s="16">
        <v>63</v>
      </c>
      <c r="E51" s="16">
        <v>69</v>
      </c>
      <c r="F51" s="16">
        <v>76</v>
      </c>
      <c r="G51" s="17">
        <v>0</v>
      </c>
      <c r="H51" s="15">
        <f>G51*F51</f>
      </c>
      <c r="I51" s="17">
        <f>IF($H$2&gt;45000, D51*G51, IF($H$2&gt;15000, E51*G51, F51*G51)) </f>
      </c>
      <c r="J51" s="15" t="s">
        <v>38</v>
      </c>
      <c r="K51" t="s">
        <v>190</v>
      </c>
    </row>
    <row r="52" outlineLevel="1">
      <c r="A52" s="15" t="s">
        <v>191</v>
      </c>
      <c r="B52" s="15" t="s">
        <v>192</v>
      </c>
      <c r="C52" s="15" t="s">
        <v>38</v>
      </c>
      <c r="D52" s="16">
        <v>77</v>
      </c>
      <c r="E52" s="16">
        <v>84</v>
      </c>
      <c r="F52" s="16">
        <v>92</v>
      </c>
      <c r="G52" s="17">
        <v>0</v>
      </c>
      <c r="H52" s="15">
        <f>G52*F52</f>
      </c>
      <c r="I52" s="17">
        <f>IF($H$2&gt;45000, D52*G52, IF($H$2&gt;15000, E52*G52, F52*G52)) </f>
      </c>
      <c r="J52" s="15" t="s">
        <v>38</v>
      </c>
      <c r="K52" t="s">
        <v>193</v>
      </c>
    </row>
    <row r="53" outlineLevel="1">
      <c r="A53" s="15" t="s">
        <v>194</v>
      </c>
      <c r="B53" s="15" t="s">
        <v>195</v>
      </c>
      <c r="C53" s="15" t="s">
        <v>38</v>
      </c>
      <c r="D53" s="16">
        <v>72</v>
      </c>
      <c r="E53" s="16">
        <v>79</v>
      </c>
      <c r="F53" s="16">
        <v>86</v>
      </c>
      <c r="G53" s="17">
        <v>0</v>
      </c>
      <c r="H53" s="15">
        <f>G53*F53</f>
      </c>
      <c r="I53" s="17">
        <f>IF($H$2&gt;45000, D53*G53, IF($H$2&gt;15000, E53*G53, F53*G53)) </f>
      </c>
      <c r="J53" s="15" t="s">
        <v>38</v>
      </c>
      <c r="K53" t="s">
        <v>196</v>
      </c>
    </row>
    <row r="54" outlineLevel="1">
      <c r="A54" s="15" t="s">
        <v>197</v>
      </c>
      <c r="B54" s="15" t="s">
        <v>198</v>
      </c>
      <c r="C54" s="15" t="s">
        <v>38</v>
      </c>
      <c r="D54" s="16">
        <v>63</v>
      </c>
      <c r="E54" s="16">
        <v>69</v>
      </c>
      <c r="F54" s="16">
        <v>76</v>
      </c>
      <c r="G54" s="17">
        <v>0</v>
      </c>
      <c r="H54" s="15">
        <f>G54*F54</f>
      </c>
      <c r="I54" s="17">
        <f>IF($H$2&gt;45000, D54*G54, IF($H$2&gt;15000, E54*G54, F54*G54)) </f>
      </c>
      <c r="J54" s="15" t="s">
        <v>38</v>
      </c>
      <c r="K54" t="s">
        <v>199</v>
      </c>
    </row>
    <row r="55" outlineLevel="1">
      <c r="A55" s="15" t="s">
        <v>200</v>
      </c>
      <c r="B55" s="15" t="s">
        <v>201</v>
      </c>
      <c r="C55" s="15" t="s">
        <v>38</v>
      </c>
      <c r="D55" s="16">
        <v>72</v>
      </c>
      <c r="E55" s="16">
        <v>79</v>
      </c>
      <c r="F55" s="16">
        <v>86</v>
      </c>
      <c r="G55" s="17">
        <v>0</v>
      </c>
      <c r="H55" s="15">
        <f>G55*F55</f>
      </c>
      <c r="I55" s="17">
        <f>IF($H$2&gt;45000, D55*G55, IF($H$2&gt;15000, E55*G55, F55*G55)) </f>
      </c>
      <c r="J55" s="15" t="s">
        <v>38</v>
      </c>
      <c r="K55" t="s">
        <v>202</v>
      </c>
    </row>
    <row r="56" outlineLevel="1">
      <c r="A56" s="15" t="s">
        <v>203</v>
      </c>
      <c r="B56" s="15" t="s">
        <v>204</v>
      </c>
      <c r="C56" s="15" t="s">
        <v>38</v>
      </c>
      <c r="D56" s="16">
        <v>63</v>
      </c>
      <c r="E56" s="16">
        <v>69</v>
      </c>
      <c r="F56" s="16">
        <v>76</v>
      </c>
      <c r="G56" s="17">
        <v>0</v>
      </c>
      <c r="H56" s="15">
        <f>G56*F56</f>
      </c>
      <c r="I56" s="17">
        <f>IF($H$2&gt;45000, D56*G56, IF($H$2&gt;15000, E56*G56, F56*G56)) </f>
      </c>
      <c r="J56" s="15" t="s">
        <v>38</v>
      </c>
      <c r="K56" t="s">
        <v>205</v>
      </c>
    </row>
    <row r="57" outlineLevel="1">
      <c r="A57" s="15" t="s">
        <v>206</v>
      </c>
      <c r="B57" s="15" t="s">
        <v>207</v>
      </c>
      <c r="C57" s="15" t="s">
        <v>38</v>
      </c>
      <c r="D57" s="16">
        <v>63</v>
      </c>
      <c r="E57" s="16">
        <v>69</v>
      </c>
      <c r="F57" s="16">
        <v>76</v>
      </c>
      <c r="G57" s="17">
        <v>0</v>
      </c>
      <c r="H57" s="15">
        <f>G57*F57</f>
      </c>
      <c r="I57" s="17">
        <f>IF($H$2&gt;45000, D57*G57, IF($H$2&gt;15000, E57*G57, F57*G57)) </f>
      </c>
      <c r="J57" s="15" t="s">
        <v>38</v>
      </c>
      <c r="K57" t="s">
        <v>208</v>
      </c>
    </row>
    <row r="58" outlineLevel="1">
      <c r="A58" s="15" t="s">
        <v>209</v>
      </c>
      <c r="B58" s="15" t="s">
        <v>210</v>
      </c>
      <c r="C58" s="15" t="s">
        <v>38</v>
      </c>
      <c r="D58" s="16">
        <v>71</v>
      </c>
      <c r="E58" s="16">
        <v>77</v>
      </c>
      <c r="F58" s="16">
        <v>85</v>
      </c>
      <c r="G58" s="17">
        <v>0</v>
      </c>
      <c r="H58" s="15">
        <f>G58*F58</f>
      </c>
      <c r="I58" s="17">
        <f>IF($H$2&gt;45000, D58*G58, IF($H$2&gt;15000, E58*G58, F58*G58)) </f>
      </c>
      <c r="J58" s="15" t="s">
        <v>38</v>
      </c>
      <c r="K58" t="s">
        <v>211</v>
      </c>
    </row>
    <row r="59" outlineLevel="1">
      <c r="A59" s="15" t="s">
        <v>212</v>
      </c>
      <c r="B59" s="15" t="s">
        <v>213</v>
      </c>
      <c r="C59" s="15" t="s">
        <v>38</v>
      </c>
      <c r="D59" s="16">
        <v>63</v>
      </c>
      <c r="E59" s="16">
        <v>69</v>
      </c>
      <c r="F59" s="16">
        <v>76</v>
      </c>
      <c r="G59" s="17">
        <v>0</v>
      </c>
      <c r="H59" s="15">
        <f>G59*F59</f>
      </c>
      <c r="I59" s="17">
        <f>IF($H$2&gt;45000, D59*G59, IF($H$2&gt;15000, E59*G59, F59*G59)) </f>
      </c>
      <c r="J59" s="15" t="s">
        <v>38</v>
      </c>
      <c r="K59" t="s">
        <v>214</v>
      </c>
    </row>
    <row r="60" outlineLevel="1">
      <c r="A60" s="15" t="s">
        <v>215</v>
      </c>
      <c r="B60" s="15" t="s">
        <v>216</v>
      </c>
      <c r="C60" s="15" t="s">
        <v>38</v>
      </c>
      <c r="D60" s="16">
        <v>63</v>
      </c>
      <c r="E60" s="16">
        <v>69</v>
      </c>
      <c r="F60" s="16">
        <v>76</v>
      </c>
      <c r="G60" s="17">
        <v>0</v>
      </c>
      <c r="H60" s="15">
        <f>G60*F60</f>
      </c>
      <c r="I60" s="17">
        <f>IF($H$2&gt;45000, D60*G60, IF($H$2&gt;15000, E60*G60, F60*G60)) </f>
      </c>
      <c r="J60" s="15" t="s">
        <v>38</v>
      </c>
      <c r="K60" t="s">
        <v>217</v>
      </c>
    </row>
    <row r="61" outlineLevel="1">
      <c r="A61" s="15" t="s">
        <v>218</v>
      </c>
      <c r="B61" s="15" t="s">
        <v>219</v>
      </c>
      <c r="C61" s="15" t="s">
        <v>38</v>
      </c>
      <c r="D61" s="16">
        <v>63</v>
      </c>
      <c r="E61" s="16">
        <v>69</v>
      </c>
      <c r="F61" s="16">
        <v>76</v>
      </c>
      <c r="G61" s="17">
        <v>0</v>
      </c>
      <c r="H61" s="15">
        <f>G61*F61</f>
      </c>
      <c r="I61" s="17">
        <f>IF($H$2&gt;45000, D61*G61, IF($H$2&gt;15000, E61*G61, F61*G61)) </f>
      </c>
      <c r="J61" s="15" t="s">
        <v>38</v>
      </c>
      <c r="K61" t="s">
        <v>220</v>
      </c>
    </row>
    <row r="62" outlineLevel="1">
      <c r="A62" s="15" t="s">
        <v>221</v>
      </c>
      <c r="B62" s="15" t="s">
        <v>222</v>
      </c>
      <c r="C62" s="15" t="s">
        <v>38</v>
      </c>
      <c r="D62" s="16">
        <v>63</v>
      </c>
      <c r="E62" s="16">
        <v>69</v>
      </c>
      <c r="F62" s="16">
        <v>76</v>
      </c>
      <c r="G62" s="17">
        <v>0</v>
      </c>
      <c r="H62" s="15">
        <f>G62*F62</f>
      </c>
      <c r="I62" s="17">
        <f>IF($H$2&gt;45000, D62*G62, IF($H$2&gt;15000, E62*G62, F62*G62)) </f>
      </c>
      <c r="J62" s="15" t="s">
        <v>38</v>
      </c>
      <c r="K62" t="s">
        <v>223</v>
      </c>
    </row>
    <row r="63" outlineLevel="1">
      <c r="A63" s="15" t="s">
        <v>224</v>
      </c>
      <c r="B63" s="15" t="s">
        <v>225</v>
      </c>
      <c r="C63" s="15" t="s">
        <v>38</v>
      </c>
      <c r="D63" s="16">
        <v>70</v>
      </c>
      <c r="E63" s="16">
        <v>77</v>
      </c>
      <c r="F63" s="16">
        <v>84</v>
      </c>
      <c r="G63" s="17">
        <v>0</v>
      </c>
      <c r="H63" s="15">
        <f>G63*F63</f>
      </c>
      <c r="I63" s="17">
        <f>IF($H$2&gt;45000, D63*G63, IF($H$2&gt;15000, E63*G63, F63*G63)) </f>
      </c>
      <c r="J63" s="15" t="s">
        <v>38</v>
      </c>
      <c r="K63" t="s">
        <v>226</v>
      </c>
    </row>
    <row r="64" outlineLevel="1">
      <c r="A64" s="15" t="s">
        <v>227</v>
      </c>
      <c r="B64" s="15" t="s">
        <v>228</v>
      </c>
      <c r="C64" s="15" t="s">
        <v>38</v>
      </c>
      <c r="D64" s="16">
        <v>70</v>
      </c>
      <c r="E64" s="16">
        <v>77</v>
      </c>
      <c r="F64" s="16">
        <v>84</v>
      </c>
      <c r="G64" s="17">
        <v>0</v>
      </c>
      <c r="H64" s="15">
        <f>G64*F64</f>
      </c>
      <c r="I64" s="17">
        <f>IF($H$2&gt;45000, D64*G64, IF($H$2&gt;15000, E64*G64, F64*G64)) </f>
      </c>
      <c r="J64" s="15" t="s">
        <v>38</v>
      </c>
      <c r="K64" t="s">
        <v>229</v>
      </c>
    </row>
    <row r="65" outlineLevel="1">
      <c r="A65" s="15" t="s">
        <v>230</v>
      </c>
      <c r="B65" s="15" t="s">
        <v>231</v>
      </c>
      <c r="C65" s="15" t="s">
        <v>38</v>
      </c>
      <c r="D65" s="16">
        <v>70</v>
      </c>
      <c r="E65" s="16">
        <v>77</v>
      </c>
      <c r="F65" s="16">
        <v>84</v>
      </c>
      <c r="G65" s="17">
        <v>0</v>
      </c>
      <c r="H65" s="15">
        <f>G65*F65</f>
      </c>
      <c r="I65" s="17">
        <f>IF($H$2&gt;45000, D65*G65, IF($H$2&gt;15000, E65*G65, F65*G65)) </f>
      </c>
      <c r="J65" s="15" t="s">
        <v>38</v>
      </c>
      <c r="K65" t="s">
        <v>232</v>
      </c>
    </row>
    <row r="66" outlineLevel="1">
      <c r="A66" s="15" t="s">
        <v>233</v>
      </c>
      <c r="B66" s="15" t="s">
        <v>234</v>
      </c>
      <c r="C66" s="15" t="s">
        <v>38</v>
      </c>
      <c r="D66" s="16">
        <v>70</v>
      </c>
      <c r="E66" s="16">
        <v>77</v>
      </c>
      <c r="F66" s="16">
        <v>84</v>
      </c>
      <c r="G66" s="17">
        <v>0</v>
      </c>
      <c r="H66" s="15">
        <f>G66*F66</f>
      </c>
      <c r="I66" s="17">
        <f>IF($H$2&gt;45000, D66*G66, IF($H$2&gt;15000, E66*G66, F66*G66)) </f>
      </c>
      <c r="J66" s="15" t="s">
        <v>38</v>
      </c>
      <c r="K66" t="s">
        <v>235</v>
      </c>
    </row>
    <row r="67" outlineLevel="1">
      <c r="A67" s="15" t="s">
        <v>236</v>
      </c>
      <c r="B67" s="15" t="s">
        <v>237</v>
      </c>
      <c r="C67" s="15" t="s">
        <v>38</v>
      </c>
      <c r="D67" s="16">
        <v>73</v>
      </c>
      <c r="E67" s="16">
        <v>79</v>
      </c>
      <c r="F67" s="16">
        <v>87</v>
      </c>
      <c r="G67" s="17">
        <v>0</v>
      </c>
      <c r="H67" s="15">
        <f>G67*F67</f>
      </c>
      <c r="I67" s="17">
        <f>IF($H$2&gt;45000, D67*G67, IF($H$2&gt;15000, E67*G67, F67*G67)) </f>
      </c>
      <c r="J67" s="15" t="s">
        <v>38</v>
      </c>
      <c r="K67" t="s">
        <v>238</v>
      </c>
    </row>
    <row r="68" outlineLevel="1">
      <c r="A68" s="15" t="s">
        <v>239</v>
      </c>
      <c r="B68" s="15" t="s">
        <v>240</v>
      </c>
      <c r="C68" s="15" t="s">
        <v>38</v>
      </c>
      <c r="D68" s="16">
        <v>73</v>
      </c>
      <c r="E68" s="16">
        <v>79</v>
      </c>
      <c r="F68" s="16">
        <v>87</v>
      </c>
      <c r="G68" s="17">
        <v>0</v>
      </c>
      <c r="H68" s="15">
        <f>G68*F68</f>
      </c>
      <c r="I68" s="17">
        <f>IF($H$2&gt;45000, D68*G68, IF($H$2&gt;15000, E68*G68, F68*G68)) </f>
      </c>
      <c r="J68" s="15" t="s">
        <v>38</v>
      </c>
      <c r="K68" t="s">
        <v>241</v>
      </c>
    </row>
    <row r="69" outlineLevel="1">
      <c r="A69" s="15" t="s">
        <v>242</v>
      </c>
      <c r="B69" s="15" t="s">
        <v>243</v>
      </c>
      <c r="C69" s="15" t="s">
        <v>38</v>
      </c>
      <c r="D69" s="16">
        <v>73</v>
      </c>
      <c r="E69" s="16">
        <v>79</v>
      </c>
      <c r="F69" s="16">
        <v>87</v>
      </c>
      <c r="G69" s="17">
        <v>0</v>
      </c>
      <c r="H69" s="15">
        <f>G69*F69</f>
      </c>
      <c r="I69" s="17">
        <f>IF($H$2&gt;45000, D69*G69, IF($H$2&gt;15000, E69*G69, F69*G69)) </f>
      </c>
      <c r="J69" s="15" t="s">
        <v>38</v>
      </c>
      <c r="K69" t="s">
        <v>244</v>
      </c>
    </row>
    <row r="70" outlineLevel="1">
      <c r="A70" s="15" t="s">
        <v>245</v>
      </c>
      <c r="B70" s="15" t="s">
        <v>246</v>
      </c>
      <c r="C70" s="15" t="s">
        <v>38</v>
      </c>
      <c r="D70" s="16">
        <v>73</v>
      </c>
      <c r="E70" s="16">
        <v>79</v>
      </c>
      <c r="F70" s="16">
        <v>87</v>
      </c>
      <c r="G70" s="17">
        <v>0</v>
      </c>
      <c r="H70" s="15">
        <f>G70*F70</f>
      </c>
      <c r="I70" s="17">
        <f>IF($H$2&gt;45000, D70*G70, IF($H$2&gt;15000, E70*G70, F70*G70)) </f>
      </c>
      <c r="J70" s="15" t="s">
        <v>38</v>
      </c>
      <c r="K70" t="s">
        <v>247</v>
      </c>
    </row>
    <row r="71" outlineLevel="1">
      <c r="A71" s="15" t="s">
        <v>248</v>
      </c>
      <c r="B71" s="15" t="s">
        <v>249</v>
      </c>
      <c r="C71" s="15" t="s">
        <v>38</v>
      </c>
      <c r="D71" s="16">
        <v>81</v>
      </c>
      <c r="E71" s="16">
        <v>89</v>
      </c>
      <c r="F71" s="16">
        <v>97</v>
      </c>
      <c r="G71" s="17">
        <v>0</v>
      </c>
      <c r="H71" s="15">
        <f>G71*F71</f>
      </c>
      <c r="I71" s="17">
        <f>IF($H$2&gt;45000, D71*G71, IF($H$2&gt;15000, E71*G71, F71*G71)) </f>
      </c>
      <c r="J71" s="15" t="s">
        <v>38</v>
      </c>
      <c r="K71" t="s">
        <v>250</v>
      </c>
    </row>
    <row r="72" outlineLevel="1">
      <c r="A72" s="15" t="s">
        <v>251</v>
      </c>
      <c r="B72" s="15" t="s">
        <v>252</v>
      </c>
      <c r="C72" s="15" t="s">
        <v>38</v>
      </c>
      <c r="D72" s="16">
        <v>73</v>
      </c>
      <c r="E72" s="16">
        <v>79</v>
      </c>
      <c r="F72" s="16">
        <v>87</v>
      </c>
      <c r="G72" s="17">
        <v>0</v>
      </c>
      <c r="H72" s="15">
        <f>G72*F72</f>
      </c>
      <c r="I72" s="17">
        <f>IF($H$2&gt;45000, D72*G72, IF($H$2&gt;15000, E72*G72, F72*G72)) </f>
      </c>
      <c r="J72" s="15" t="s">
        <v>38</v>
      </c>
      <c r="K72" t="s">
        <v>253</v>
      </c>
    </row>
    <row r="73" outlineLevel="1">
      <c r="A73" s="15" t="s">
        <v>254</v>
      </c>
      <c r="B73" s="15" t="s">
        <v>255</v>
      </c>
      <c r="C73" s="15" t="s">
        <v>38</v>
      </c>
      <c r="D73" s="16">
        <v>81</v>
      </c>
      <c r="E73" s="16">
        <v>89</v>
      </c>
      <c r="F73" s="16">
        <v>97</v>
      </c>
      <c r="G73" s="17">
        <v>0</v>
      </c>
      <c r="H73" s="15">
        <f>G73*F73</f>
      </c>
      <c r="I73" s="17">
        <f>IF($H$2&gt;45000, D73*G73, IF($H$2&gt;15000, E73*G73, F73*G73)) </f>
      </c>
      <c r="J73" s="15" t="s">
        <v>38</v>
      </c>
      <c r="K73" t="s">
        <v>256</v>
      </c>
    </row>
    <row r="74" outlineLevel="1">
      <c r="A74" s="15" t="s">
        <v>257</v>
      </c>
      <c r="B74" s="15" t="s">
        <v>258</v>
      </c>
      <c r="C74" s="15" t="s">
        <v>38</v>
      </c>
      <c r="D74" s="16">
        <v>81</v>
      </c>
      <c r="E74" s="16">
        <v>89</v>
      </c>
      <c r="F74" s="16">
        <v>97</v>
      </c>
      <c r="G74" s="17">
        <v>0</v>
      </c>
      <c r="H74" s="15">
        <f>G74*F74</f>
      </c>
      <c r="I74" s="17">
        <f>IF($H$2&gt;45000, D74*G74, IF($H$2&gt;15000, E74*G74, F74*G74)) </f>
      </c>
      <c r="J74" s="15" t="s">
        <v>38</v>
      </c>
      <c r="K74" t="s">
        <v>259</v>
      </c>
    </row>
    <row r="75" outlineLevel="1">
      <c r="A75" s="15" t="s">
        <v>260</v>
      </c>
      <c r="B75" s="15" t="s">
        <v>261</v>
      </c>
      <c r="C75" s="15" t="s">
        <v>38</v>
      </c>
      <c r="D75" s="16">
        <v>63</v>
      </c>
      <c r="E75" s="16">
        <v>69</v>
      </c>
      <c r="F75" s="16">
        <v>76</v>
      </c>
      <c r="G75" s="17">
        <v>0</v>
      </c>
      <c r="H75" s="15">
        <f>G75*F75</f>
      </c>
      <c r="I75" s="17">
        <f>IF($H$2&gt;45000, D75*G75, IF($H$2&gt;15000, E75*G75, F75*G75)) </f>
      </c>
      <c r="J75" s="15" t="s">
        <v>38</v>
      </c>
      <c r="K75" t="s">
        <v>262</v>
      </c>
    </row>
    <row r="76" outlineLevel="1">
      <c r="A76" s="15" t="s">
        <v>263</v>
      </c>
      <c r="B76" s="15" t="s">
        <v>264</v>
      </c>
      <c r="C76" s="15" t="s">
        <v>38</v>
      </c>
      <c r="D76" s="16">
        <v>63</v>
      </c>
      <c r="E76" s="16">
        <v>69</v>
      </c>
      <c r="F76" s="16">
        <v>76</v>
      </c>
      <c r="G76" s="17">
        <v>0</v>
      </c>
      <c r="H76" s="15">
        <f>G76*F76</f>
      </c>
      <c r="I76" s="17">
        <f>IF($H$2&gt;45000, D76*G76, IF($H$2&gt;15000, E76*G76, F76*G76)) </f>
      </c>
      <c r="J76" s="15" t="s">
        <v>38</v>
      </c>
      <c r="K76" t="s">
        <v>265</v>
      </c>
    </row>
    <row r="77" outlineLevel="1">
      <c r="A77" s="15" t="s">
        <v>266</v>
      </c>
      <c r="B77" s="15" t="s">
        <v>267</v>
      </c>
      <c r="C77" s="15" t="s">
        <v>38</v>
      </c>
      <c r="D77" s="16">
        <v>63</v>
      </c>
      <c r="E77" s="16">
        <v>69</v>
      </c>
      <c r="F77" s="16">
        <v>76</v>
      </c>
      <c r="G77" s="17">
        <v>0</v>
      </c>
      <c r="H77" s="15">
        <f>G77*F77</f>
      </c>
      <c r="I77" s="17">
        <f>IF($H$2&gt;45000, D77*G77, IF($H$2&gt;15000, E77*G77, F77*G77)) </f>
      </c>
      <c r="J77" s="15" t="s">
        <v>38</v>
      </c>
      <c r="K77" t="s">
        <v>268</v>
      </c>
    </row>
    <row r="78" outlineLevel="1">
      <c r="A78" s="15" t="s">
        <v>269</v>
      </c>
      <c r="B78" s="15" t="s">
        <v>270</v>
      </c>
      <c r="C78" s="15" t="s">
        <v>38</v>
      </c>
      <c r="D78" s="16">
        <v>63</v>
      </c>
      <c r="E78" s="16">
        <v>69</v>
      </c>
      <c r="F78" s="16">
        <v>76</v>
      </c>
      <c r="G78" s="17">
        <v>0</v>
      </c>
      <c r="H78" s="15">
        <f>G78*F78</f>
      </c>
      <c r="I78" s="17">
        <f>IF($H$2&gt;45000, D78*G78, IF($H$2&gt;15000, E78*G78, F78*G78)) </f>
      </c>
      <c r="J78" s="15" t="s">
        <v>38</v>
      </c>
      <c r="K78" t="s">
        <v>271</v>
      </c>
    </row>
    <row r="79" outlineLevel="1">
      <c r="A79" s="15" t="s">
        <v>272</v>
      </c>
      <c r="B79" s="15" t="s">
        <v>273</v>
      </c>
      <c r="C79" s="15" t="s">
        <v>38</v>
      </c>
      <c r="D79" s="16">
        <v>72</v>
      </c>
      <c r="E79" s="16">
        <v>79</v>
      </c>
      <c r="F79" s="16">
        <v>86</v>
      </c>
      <c r="G79" s="17">
        <v>0</v>
      </c>
      <c r="H79" s="15">
        <f>G79*F79</f>
      </c>
      <c r="I79" s="17">
        <f>IF($H$2&gt;45000, D79*G79, IF($H$2&gt;15000, E79*G79, F79*G79)) </f>
      </c>
      <c r="J79" s="15" t="s">
        <v>38</v>
      </c>
      <c r="K79" t="s">
        <v>274</v>
      </c>
    </row>
    <row r="80" outlineLevel="1">
      <c r="A80" s="15" t="s">
        <v>275</v>
      </c>
      <c r="B80" s="15" t="s">
        <v>276</v>
      </c>
      <c r="C80" s="15" t="s">
        <v>38</v>
      </c>
      <c r="D80" s="16">
        <v>70</v>
      </c>
      <c r="E80" s="16">
        <v>77</v>
      </c>
      <c r="F80" s="16">
        <v>84</v>
      </c>
      <c r="G80" s="17">
        <v>0</v>
      </c>
      <c r="H80" s="15">
        <f>G80*F80</f>
      </c>
      <c r="I80" s="17">
        <f>IF($H$2&gt;45000, D80*G80, IF($H$2&gt;15000, E80*G80, F80*G80)) </f>
      </c>
      <c r="J80" s="15" t="s">
        <v>38</v>
      </c>
      <c r="K80" t="s">
        <v>277</v>
      </c>
    </row>
    <row r="81" outlineLevel="1">
      <c r="A81" s="15" t="s">
        <v>278</v>
      </c>
      <c r="B81" s="15" t="s">
        <v>279</v>
      </c>
      <c r="C81" s="15" t="s">
        <v>38</v>
      </c>
      <c r="D81" s="16">
        <v>63</v>
      </c>
      <c r="E81" s="16">
        <v>69</v>
      </c>
      <c r="F81" s="16">
        <v>76</v>
      </c>
      <c r="G81" s="17">
        <v>0</v>
      </c>
      <c r="H81" s="15">
        <f>G81*F81</f>
      </c>
      <c r="I81" s="17">
        <f>IF($H$2&gt;45000, D81*G81, IF($H$2&gt;15000, E81*G81, F81*G81)) </f>
      </c>
      <c r="J81" s="15" t="s">
        <v>38</v>
      </c>
      <c r="K81" t="s">
        <v>280</v>
      </c>
    </row>
    <row r="82" outlineLevel="1">
      <c r="A82" s="15" t="s">
        <v>281</v>
      </c>
      <c r="B82" s="15" t="s">
        <v>282</v>
      </c>
      <c r="C82" s="15" t="s">
        <v>38</v>
      </c>
      <c r="D82" s="16">
        <v>63</v>
      </c>
      <c r="E82" s="16">
        <v>69</v>
      </c>
      <c r="F82" s="16">
        <v>76</v>
      </c>
      <c r="G82" s="17">
        <v>0</v>
      </c>
      <c r="H82" s="15">
        <f>G82*F82</f>
      </c>
      <c r="I82" s="17">
        <f>IF($H$2&gt;45000, D82*G82, IF($H$2&gt;15000, E82*G82, F82*G82)) </f>
      </c>
      <c r="J82" s="15" t="s">
        <v>38</v>
      </c>
      <c r="K82" t="s">
        <v>283</v>
      </c>
    </row>
    <row r="83" outlineLevel="1">
      <c r="A83" s="15" t="s">
        <v>284</v>
      </c>
      <c r="B83" s="15" t="s">
        <v>285</v>
      </c>
      <c r="C83" s="15" t="s">
        <v>38</v>
      </c>
      <c r="D83" s="16">
        <v>63</v>
      </c>
      <c r="E83" s="16">
        <v>69</v>
      </c>
      <c r="F83" s="16">
        <v>76</v>
      </c>
      <c r="G83" s="17">
        <v>0</v>
      </c>
      <c r="H83" s="15">
        <f>G83*F83</f>
      </c>
      <c r="I83" s="17">
        <f>IF($H$2&gt;45000, D83*G83, IF($H$2&gt;15000, E83*G83, F83*G83)) </f>
      </c>
      <c r="J83" s="15" t="s">
        <v>38</v>
      </c>
      <c r="K83" t="s">
        <v>286</v>
      </c>
    </row>
    <row r="84" outlineLevel="1">
      <c r="A84" s="15" t="s">
        <v>287</v>
      </c>
      <c r="B84" s="15" t="s">
        <v>288</v>
      </c>
      <c r="C84" s="15" t="s">
        <v>38</v>
      </c>
      <c r="D84" s="16">
        <v>75</v>
      </c>
      <c r="E84" s="16">
        <v>82</v>
      </c>
      <c r="F84" s="16">
        <v>90</v>
      </c>
      <c r="G84" s="17">
        <v>0</v>
      </c>
      <c r="H84" s="15">
        <f>G84*F84</f>
      </c>
      <c r="I84" s="17">
        <f>IF($H$2&gt;45000, D84*G84, IF($H$2&gt;15000, E84*G84, F84*G84)) </f>
      </c>
      <c r="J84" s="15" t="s">
        <v>38</v>
      </c>
      <c r="K84" t="s">
        <v>289</v>
      </c>
    </row>
    <row r="85" outlineLevel="1">
      <c r="A85" s="15" t="s">
        <v>290</v>
      </c>
      <c r="B85" s="15" t="s">
        <v>291</v>
      </c>
      <c r="C85" s="15" t="s">
        <v>38</v>
      </c>
      <c r="D85" s="16">
        <v>63</v>
      </c>
      <c r="E85" s="16">
        <v>69</v>
      </c>
      <c r="F85" s="16">
        <v>76</v>
      </c>
      <c r="G85" s="17">
        <v>0</v>
      </c>
      <c r="H85" s="15">
        <f>G85*F85</f>
      </c>
      <c r="I85" s="17">
        <f>IF($H$2&gt;45000, D85*G85, IF($H$2&gt;15000, E85*G85, F85*G85)) </f>
      </c>
      <c r="J85" s="15" t="s">
        <v>38</v>
      </c>
      <c r="K85" t="s">
        <v>292</v>
      </c>
    </row>
    <row r="86" outlineLevel="1">
      <c r="A86" s="15" t="s">
        <v>293</v>
      </c>
      <c r="B86" s="15" t="s">
        <v>294</v>
      </c>
      <c r="C86" s="15" t="s">
        <v>38</v>
      </c>
      <c r="D86" s="16">
        <v>79</v>
      </c>
      <c r="E86" s="16">
        <v>86</v>
      </c>
      <c r="F86" s="16">
        <v>95</v>
      </c>
      <c r="G86" s="17">
        <v>0</v>
      </c>
      <c r="H86" s="15">
        <f>G86*F86</f>
      </c>
      <c r="I86" s="17">
        <f>IF($H$2&gt;45000, D86*G86, IF($H$2&gt;15000, E86*G86, F86*G86)) </f>
      </c>
      <c r="J86" s="15" t="s">
        <v>38</v>
      </c>
      <c r="K86" t="s">
        <v>295</v>
      </c>
    </row>
    <row r="87" outlineLevel="1">
      <c r="A87" s="15" t="s">
        <v>296</v>
      </c>
      <c r="B87" s="15" t="s">
        <v>297</v>
      </c>
      <c r="C87" s="15" t="s">
        <v>38</v>
      </c>
      <c r="D87" s="16">
        <v>63</v>
      </c>
      <c r="E87" s="16">
        <v>69</v>
      </c>
      <c r="F87" s="16">
        <v>76</v>
      </c>
      <c r="G87" s="17">
        <v>0</v>
      </c>
      <c r="H87" s="15">
        <f>G87*F87</f>
      </c>
      <c r="I87" s="17">
        <f>IF($H$2&gt;45000, D87*G87, IF($H$2&gt;15000, E87*G87, F87*G87)) </f>
      </c>
      <c r="J87" s="15" t="s">
        <v>38</v>
      </c>
      <c r="K87" t="s">
        <v>298</v>
      </c>
    </row>
    <row r="88" outlineLevel="1">
      <c r="A88" s="15" t="s">
        <v>299</v>
      </c>
      <c r="B88" s="15" t="s">
        <v>300</v>
      </c>
      <c r="C88" s="15" t="s">
        <v>38</v>
      </c>
      <c r="D88" s="16">
        <v>63</v>
      </c>
      <c r="E88" s="16">
        <v>69</v>
      </c>
      <c r="F88" s="16">
        <v>76</v>
      </c>
      <c r="G88" s="17">
        <v>0</v>
      </c>
      <c r="H88" s="15">
        <f>G88*F88</f>
      </c>
      <c r="I88" s="17">
        <f>IF($H$2&gt;45000, D88*G88, IF($H$2&gt;15000, E88*G88, F88*G88)) </f>
      </c>
      <c r="J88" s="15" t="s">
        <v>38</v>
      </c>
      <c r="K88" t="s">
        <v>301</v>
      </c>
    </row>
    <row r="89" outlineLevel="1">
      <c r="A89" s="15" t="s">
        <v>302</v>
      </c>
      <c r="B89" s="15" t="s">
        <v>303</v>
      </c>
      <c r="C89" s="15" t="s">
        <v>38</v>
      </c>
      <c r="D89" s="16">
        <v>63</v>
      </c>
      <c r="E89" s="16">
        <v>69</v>
      </c>
      <c r="F89" s="16">
        <v>76</v>
      </c>
      <c r="G89" s="17">
        <v>0</v>
      </c>
      <c r="H89" s="15">
        <f>G89*F89</f>
      </c>
      <c r="I89" s="17">
        <f>IF($H$2&gt;45000, D89*G89, IF($H$2&gt;15000, E89*G89, F89*G89)) </f>
      </c>
      <c r="J89" s="15" t="s">
        <v>38</v>
      </c>
      <c r="K89" t="s">
        <v>304</v>
      </c>
    </row>
    <row r="90" outlineLevel="1">
      <c r="A90" s="15" t="s">
        <v>305</v>
      </c>
      <c r="B90" s="15" t="s">
        <v>306</v>
      </c>
      <c r="C90" s="15" t="s">
        <v>38</v>
      </c>
      <c r="D90" s="16">
        <v>63</v>
      </c>
      <c r="E90" s="16">
        <v>69</v>
      </c>
      <c r="F90" s="16">
        <v>76</v>
      </c>
      <c r="G90" s="17">
        <v>0</v>
      </c>
      <c r="H90" s="15">
        <f>G90*F90</f>
      </c>
      <c r="I90" s="17">
        <f>IF($H$2&gt;45000, D90*G90, IF($H$2&gt;15000, E90*G90, F90*G90)) </f>
      </c>
      <c r="J90" s="15" t="s">
        <v>38</v>
      </c>
      <c r="K90" t="s">
        <v>307</v>
      </c>
    </row>
    <row r="91" outlineLevel="1">
      <c r="A91" s="15" t="s">
        <v>308</v>
      </c>
      <c r="B91" s="15" t="s">
        <v>309</v>
      </c>
      <c r="C91" s="15" t="s">
        <v>38</v>
      </c>
      <c r="D91" s="16">
        <v>63</v>
      </c>
      <c r="E91" s="16">
        <v>69</v>
      </c>
      <c r="F91" s="16">
        <v>76</v>
      </c>
      <c r="G91" s="17">
        <v>0</v>
      </c>
      <c r="H91" s="15">
        <f>G91*F91</f>
      </c>
      <c r="I91" s="17">
        <f>IF($H$2&gt;45000, D91*G91, IF($H$2&gt;15000, E91*G91, F91*G91)) </f>
      </c>
      <c r="J91" s="15" t="s">
        <v>38</v>
      </c>
      <c r="K91" t="s">
        <v>310</v>
      </c>
    </row>
    <row r="92" outlineLevel="1">
      <c r="A92" s="15" t="s">
        <v>311</v>
      </c>
      <c r="B92" s="15" t="s">
        <v>312</v>
      </c>
      <c r="C92" s="15" t="s">
        <v>38</v>
      </c>
      <c r="D92" s="16">
        <v>71</v>
      </c>
      <c r="E92" s="16">
        <v>78</v>
      </c>
      <c r="F92" s="16">
        <v>85</v>
      </c>
      <c r="G92" s="17">
        <v>0</v>
      </c>
      <c r="H92" s="15">
        <f>G92*F92</f>
      </c>
      <c r="I92" s="17">
        <f>IF($H$2&gt;45000, D92*G92, IF($H$2&gt;15000, E92*G92, F92*G92)) </f>
      </c>
      <c r="J92" s="15" t="s">
        <v>38</v>
      </c>
      <c r="K92" t="s">
        <v>313</v>
      </c>
    </row>
    <row r="93" outlineLevel="1">
      <c r="A93" s="15" t="s">
        <v>314</v>
      </c>
      <c r="B93" s="15" t="s">
        <v>315</v>
      </c>
      <c r="C93" s="15" t="s">
        <v>38</v>
      </c>
      <c r="D93" s="16">
        <v>63</v>
      </c>
      <c r="E93" s="16">
        <v>69</v>
      </c>
      <c r="F93" s="16">
        <v>76</v>
      </c>
      <c r="G93" s="17">
        <v>0</v>
      </c>
      <c r="H93" s="15">
        <f>G93*F93</f>
      </c>
      <c r="I93" s="17">
        <f>IF($H$2&gt;45000, D93*G93, IF($H$2&gt;15000, E93*G93, F93*G93)) </f>
      </c>
      <c r="J93" s="15" t="s">
        <v>38</v>
      </c>
      <c r="K93" t="s">
        <v>316</v>
      </c>
    </row>
    <row r="94" outlineLevel="1">
      <c r="A94" s="15" t="s">
        <v>317</v>
      </c>
      <c r="B94" s="15" t="s">
        <v>318</v>
      </c>
      <c r="C94" s="15" t="s">
        <v>38</v>
      </c>
      <c r="D94" s="16">
        <v>63</v>
      </c>
      <c r="E94" s="16">
        <v>69</v>
      </c>
      <c r="F94" s="16">
        <v>76</v>
      </c>
      <c r="G94" s="17">
        <v>0</v>
      </c>
      <c r="H94" s="15">
        <f>G94*F94</f>
      </c>
      <c r="I94" s="17">
        <f>IF($H$2&gt;45000, D94*G94, IF($H$2&gt;15000, E94*G94, F94*G94)) </f>
      </c>
      <c r="J94" s="15" t="s">
        <v>38</v>
      </c>
      <c r="K94" t="s">
        <v>319</v>
      </c>
    </row>
    <row r="95" outlineLevel="1">
      <c r="A95" s="15" t="s">
        <v>320</v>
      </c>
      <c r="B95" s="15" t="s">
        <v>321</v>
      </c>
      <c r="C95" s="15" t="s">
        <v>38</v>
      </c>
      <c r="D95" s="16">
        <v>70</v>
      </c>
      <c r="E95" s="16">
        <v>77</v>
      </c>
      <c r="F95" s="16">
        <v>84</v>
      </c>
      <c r="G95" s="17">
        <v>0</v>
      </c>
      <c r="H95" s="15">
        <f>G95*F95</f>
      </c>
      <c r="I95" s="17">
        <f>IF($H$2&gt;45000, D95*G95, IF($H$2&gt;15000, E95*G95, F95*G95)) </f>
      </c>
      <c r="J95" s="15" t="s">
        <v>38</v>
      </c>
      <c r="K95" t="s">
        <v>322</v>
      </c>
    </row>
    <row r="96" outlineLevel="1">
      <c r="A96" s="15" t="s">
        <v>323</v>
      </c>
      <c r="B96" s="15" t="s">
        <v>324</v>
      </c>
      <c r="C96" s="15" t="s">
        <v>38</v>
      </c>
      <c r="D96" s="16">
        <v>72</v>
      </c>
      <c r="E96" s="16">
        <v>79</v>
      </c>
      <c r="F96" s="16">
        <v>86</v>
      </c>
      <c r="G96" s="17">
        <v>0</v>
      </c>
      <c r="H96" s="15">
        <f>G96*F96</f>
      </c>
      <c r="I96" s="17">
        <f>IF($H$2&gt;45000, D96*G96, IF($H$2&gt;15000, E96*G96, F96*G96)) </f>
      </c>
      <c r="J96" s="15" t="s">
        <v>38</v>
      </c>
      <c r="K96" t="s">
        <v>325</v>
      </c>
    </row>
    <row r="97" outlineLevel="1">
      <c r="A97" s="15" t="s">
        <v>326</v>
      </c>
      <c r="B97" s="15" t="s">
        <v>327</v>
      </c>
      <c r="C97" s="15" t="s">
        <v>38</v>
      </c>
      <c r="D97" s="16">
        <v>77</v>
      </c>
      <c r="E97" s="16">
        <v>84</v>
      </c>
      <c r="F97" s="16">
        <v>92</v>
      </c>
      <c r="G97" s="17">
        <v>0</v>
      </c>
      <c r="H97" s="15">
        <f>G97*F97</f>
      </c>
      <c r="I97" s="17">
        <f>IF($H$2&gt;45000, D97*G97, IF($H$2&gt;15000, E97*G97, F97*G97)) </f>
      </c>
      <c r="J97" s="15" t="s">
        <v>38</v>
      </c>
      <c r="K97" t="s">
        <v>328</v>
      </c>
    </row>
    <row r="98" outlineLevel="1">
      <c r="A98" s="15" t="s">
        <v>329</v>
      </c>
      <c r="B98" s="15" t="s">
        <v>330</v>
      </c>
      <c r="C98" s="15" t="s">
        <v>38</v>
      </c>
      <c r="D98" s="16">
        <v>70</v>
      </c>
      <c r="E98" s="16">
        <v>77</v>
      </c>
      <c r="F98" s="16">
        <v>84</v>
      </c>
      <c r="G98" s="17">
        <v>0</v>
      </c>
      <c r="H98" s="15">
        <f>G98*F98</f>
      </c>
      <c r="I98" s="17">
        <f>IF($H$2&gt;45000, D98*G98, IF($H$2&gt;15000, E98*G98, F98*G98)) </f>
      </c>
      <c r="J98" s="15" t="s">
        <v>38</v>
      </c>
      <c r="K98" t="s">
        <v>331</v>
      </c>
    </row>
    <row r="99" outlineLevel="1">
      <c r="A99" s="15" t="s">
        <v>332</v>
      </c>
      <c r="B99" s="15" t="s">
        <v>333</v>
      </c>
      <c r="C99" s="15" t="s">
        <v>38</v>
      </c>
      <c r="D99" s="16">
        <v>63</v>
      </c>
      <c r="E99" s="16">
        <v>69</v>
      </c>
      <c r="F99" s="16">
        <v>76</v>
      </c>
      <c r="G99" s="17">
        <v>0</v>
      </c>
      <c r="H99" s="15">
        <f>G99*F99</f>
      </c>
      <c r="I99" s="17">
        <f>IF($H$2&gt;45000, D99*G99, IF($H$2&gt;15000, E99*G99, F99*G99)) </f>
      </c>
      <c r="J99" s="15" t="s">
        <v>38</v>
      </c>
      <c r="K99" t="s">
        <v>334</v>
      </c>
    </row>
    <row r="100" outlineLevel="1">
      <c r="A100" s="15" t="s">
        <v>335</v>
      </c>
      <c r="B100" s="15" t="s">
        <v>336</v>
      </c>
      <c r="C100" s="15" t="s">
        <v>38</v>
      </c>
      <c r="D100" s="16">
        <v>63</v>
      </c>
      <c r="E100" s="16">
        <v>69</v>
      </c>
      <c r="F100" s="16">
        <v>76</v>
      </c>
      <c r="G100" s="17">
        <v>0</v>
      </c>
      <c r="H100" s="15">
        <f>G100*F100</f>
      </c>
      <c r="I100" s="17">
        <f>IF($H$2&gt;45000, D100*G100, IF($H$2&gt;15000, E100*G100, F100*G100)) </f>
      </c>
      <c r="J100" s="15" t="s">
        <v>38</v>
      </c>
      <c r="K100" t="s">
        <v>337</v>
      </c>
    </row>
    <row r="101" outlineLevel="1">
      <c r="A101" s="15" t="s">
        <v>338</v>
      </c>
      <c r="B101" s="15" t="s">
        <v>339</v>
      </c>
      <c r="C101" s="15" t="s">
        <v>38</v>
      </c>
      <c r="D101" s="16">
        <v>63</v>
      </c>
      <c r="E101" s="16">
        <v>69</v>
      </c>
      <c r="F101" s="16">
        <v>76</v>
      </c>
      <c r="G101" s="17">
        <v>0</v>
      </c>
      <c r="H101" s="15">
        <f>G101*F101</f>
      </c>
      <c r="I101" s="17">
        <f>IF($H$2&gt;45000, D101*G101, IF($H$2&gt;15000, E101*G101, F101*G101)) </f>
      </c>
      <c r="J101" s="15" t="s">
        <v>38</v>
      </c>
      <c r="K101" t="s">
        <v>340</v>
      </c>
    </row>
    <row r="102" outlineLevel="1">
      <c r="A102" s="15" t="s">
        <v>341</v>
      </c>
      <c r="B102" s="15" t="s">
        <v>342</v>
      </c>
      <c r="C102" s="15" t="s">
        <v>38</v>
      </c>
      <c r="D102" s="16">
        <v>63</v>
      </c>
      <c r="E102" s="16">
        <v>69</v>
      </c>
      <c r="F102" s="16">
        <v>76</v>
      </c>
      <c r="G102" s="17">
        <v>0</v>
      </c>
      <c r="H102" s="15">
        <f>G102*F102</f>
      </c>
      <c r="I102" s="17">
        <f>IF($H$2&gt;45000, D102*G102, IF($H$2&gt;15000, E102*G102, F102*G102)) </f>
      </c>
      <c r="J102" s="15" t="s">
        <v>38</v>
      </c>
      <c r="K102" t="s">
        <v>343</v>
      </c>
    </row>
    <row r="103" outlineLevel="1">
      <c r="A103" s="15" t="s">
        <v>344</v>
      </c>
      <c r="B103" s="15" t="s">
        <v>345</v>
      </c>
      <c r="C103" s="15" t="s">
        <v>346</v>
      </c>
      <c r="D103" s="16">
        <v>63</v>
      </c>
      <c r="E103" s="16">
        <v>69</v>
      </c>
      <c r="F103" s="16">
        <v>76</v>
      </c>
      <c r="G103" s="17">
        <v>0</v>
      </c>
      <c r="H103" s="15">
        <f>G103*F103</f>
      </c>
      <c r="I103" s="17">
        <f>IF($H$2&gt;45000, D103*G103, IF($H$2&gt;15000, E103*G103, F103*G103)) </f>
      </c>
      <c r="J103" s="15" t="s">
        <v>38</v>
      </c>
      <c r="K103" t="s">
        <v>347</v>
      </c>
    </row>
    <row r="104" outlineLevel="1">
      <c r="A104" s="15" t="s">
        <v>348</v>
      </c>
      <c r="B104" s="15" t="s">
        <v>349</v>
      </c>
      <c r="C104" s="15" t="s">
        <v>38</v>
      </c>
      <c r="D104" s="16">
        <v>63</v>
      </c>
      <c r="E104" s="16">
        <v>69</v>
      </c>
      <c r="F104" s="16">
        <v>76</v>
      </c>
      <c r="G104" s="17">
        <v>0</v>
      </c>
      <c r="H104" s="15">
        <f>G104*F104</f>
      </c>
      <c r="I104" s="17">
        <f>IF($H$2&gt;45000, D104*G104, IF($H$2&gt;15000, E104*G104, F104*G104)) </f>
      </c>
      <c r="J104" s="15" t="s">
        <v>38</v>
      </c>
      <c r="K104" t="s">
        <v>350</v>
      </c>
    </row>
    <row r="105" outlineLevel="1">
      <c r="A105" s="15" t="s">
        <v>351</v>
      </c>
      <c r="B105" s="15" t="s">
        <v>352</v>
      </c>
      <c r="C105" s="15" t="s">
        <v>38</v>
      </c>
      <c r="D105" s="16">
        <v>72</v>
      </c>
      <c r="E105" s="16">
        <v>79</v>
      </c>
      <c r="F105" s="16">
        <v>86</v>
      </c>
      <c r="G105" s="17">
        <v>0</v>
      </c>
      <c r="H105" s="15">
        <f>G105*F105</f>
      </c>
      <c r="I105" s="17">
        <f>IF($H$2&gt;45000, D105*G105, IF($H$2&gt;15000, E105*G105, F105*G105)) </f>
      </c>
      <c r="J105" s="15" t="s">
        <v>38</v>
      </c>
      <c r="K105" t="s">
        <v>353</v>
      </c>
    </row>
    <row r="106" outlineLevel="1">
      <c r="A106" s="15" t="s">
        <v>354</v>
      </c>
      <c r="B106" s="15" t="s">
        <v>355</v>
      </c>
      <c r="C106" s="15" t="s">
        <v>38</v>
      </c>
      <c r="D106" s="16">
        <v>72</v>
      </c>
      <c r="E106" s="16">
        <v>79</v>
      </c>
      <c r="F106" s="16">
        <v>86</v>
      </c>
      <c r="G106" s="17">
        <v>0</v>
      </c>
      <c r="H106" s="15">
        <f>G106*F106</f>
      </c>
      <c r="I106" s="17">
        <f>IF($H$2&gt;45000, D106*G106, IF($H$2&gt;15000, E106*G106, F106*G106)) </f>
      </c>
      <c r="J106" s="15" t="s">
        <v>38</v>
      </c>
      <c r="K106" t="s">
        <v>356</v>
      </c>
    </row>
    <row r="107" outlineLevel="1">
      <c r="A107" s="15" t="s">
        <v>357</v>
      </c>
      <c r="B107" s="15" t="s">
        <v>358</v>
      </c>
      <c r="C107" s="15" t="s">
        <v>38</v>
      </c>
      <c r="D107" s="16">
        <v>72</v>
      </c>
      <c r="E107" s="16">
        <v>79</v>
      </c>
      <c r="F107" s="16">
        <v>86</v>
      </c>
      <c r="G107" s="17">
        <v>0</v>
      </c>
      <c r="H107" s="15">
        <f>G107*F107</f>
      </c>
      <c r="I107" s="17">
        <f>IF($H$2&gt;45000, D107*G107, IF($H$2&gt;15000, E107*G107, F107*G107)) </f>
      </c>
      <c r="J107" s="15" t="s">
        <v>38</v>
      </c>
      <c r="K107" t="s">
        <v>359</v>
      </c>
    </row>
    <row r="108" outlineLevel="1">
      <c r="A108" s="15" t="s">
        <v>360</v>
      </c>
      <c r="B108" s="15" t="s">
        <v>361</v>
      </c>
      <c r="C108" s="15" t="s">
        <v>38</v>
      </c>
      <c r="D108" s="16">
        <v>63</v>
      </c>
      <c r="E108" s="16">
        <v>69</v>
      </c>
      <c r="F108" s="16">
        <v>76</v>
      </c>
      <c r="G108" s="17">
        <v>0</v>
      </c>
      <c r="H108" s="15">
        <f>G108*F108</f>
      </c>
      <c r="I108" s="17">
        <f>IF($H$2&gt;45000, D108*G108, IF($H$2&gt;15000, E108*G108, F108*G108)) </f>
      </c>
      <c r="J108" s="15" t="s">
        <v>38</v>
      </c>
      <c r="K108" t="s">
        <v>362</v>
      </c>
    </row>
    <row r="109" outlineLevel="1">
      <c r="A109" s="15" t="s">
        <v>363</v>
      </c>
      <c r="B109" s="15" t="s">
        <v>364</v>
      </c>
      <c r="C109" s="15" t="s">
        <v>38</v>
      </c>
      <c r="D109" s="16">
        <v>76</v>
      </c>
      <c r="E109" s="16">
        <v>83</v>
      </c>
      <c r="F109" s="16">
        <v>91</v>
      </c>
      <c r="G109" s="17">
        <v>0</v>
      </c>
      <c r="H109" s="15">
        <f>G109*F109</f>
      </c>
      <c r="I109" s="17">
        <f>IF($H$2&gt;45000, D109*G109, IF($H$2&gt;15000, E109*G109, F109*G109)) </f>
      </c>
      <c r="J109" s="15" t="s">
        <v>38</v>
      </c>
      <c r="K109" t="s">
        <v>365</v>
      </c>
    </row>
    <row r="110" outlineLevel="1">
      <c r="A110" s="15" t="s">
        <v>366</v>
      </c>
      <c r="B110" s="15" t="s">
        <v>367</v>
      </c>
      <c r="C110" s="15" t="s">
        <v>38</v>
      </c>
      <c r="D110" s="16">
        <v>63</v>
      </c>
      <c r="E110" s="16">
        <v>69</v>
      </c>
      <c r="F110" s="16">
        <v>76</v>
      </c>
      <c r="G110" s="17">
        <v>0</v>
      </c>
      <c r="H110" s="15">
        <f>G110*F110</f>
      </c>
      <c r="I110" s="17">
        <f>IF($H$2&gt;45000, D110*G110, IF($H$2&gt;15000, E110*G110, F110*G110)) </f>
      </c>
      <c r="J110" s="15" t="s">
        <v>38</v>
      </c>
      <c r="K110" t="s">
        <v>368</v>
      </c>
    </row>
    <row r="111" outlineLevel="1">
      <c r="A111" s="15" t="s">
        <v>369</v>
      </c>
      <c r="B111" s="15" t="s">
        <v>370</v>
      </c>
      <c r="C111" s="15" t="s">
        <v>38</v>
      </c>
      <c r="D111" s="16">
        <v>63</v>
      </c>
      <c r="E111" s="16">
        <v>69</v>
      </c>
      <c r="F111" s="16">
        <v>76</v>
      </c>
      <c r="G111" s="17">
        <v>0</v>
      </c>
      <c r="H111" s="15">
        <f>G111*F111</f>
      </c>
      <c r="I111" s="17">
        <f>IF($H$2&gt;45000, D111*G111, IF($H$2&gt;15000, E111*G111, F111*G111)) </f>
      </c>
      <c r="J111" s="15" t="s">
        <v>38</v>
      </c>
      <c r="K111" t="s">
        <v>371</v>
      </c>
    </row>
    <row r="112" outlineLevel="1">
      <c r="A112" s="15" t="s">
        <v>372</v>
      </c>
      <c r="B112" s="15" t="s">
        <v>373</v>
      </c>
      <c r="C112" s="15" t="s">
        <v>38</v>
      </c>
      <c r="D112" s="16">
        <v>63</v>
      </c>
      <c r="E112" s="16">
        <v>69</v>
      </c>
      <c r="F112" s="16">
        <v>76</v>
      </c>
      <c r="G112" s="17">
        <v>0</v>
      </c>
      <c r="H112" s="15">
        <f>G112*F112</f>
      </c>
      <c r="I112" s="17">
        <f>IF($H$2&gt;45000, D112*G112, IF($H$2&gt;15000, E112*G112, F112*G112)) </f>
      </c>
      <c r="J112" s="15" t="s">
        <v>38</v>
      </c>
      <c r="K112" t="s">
        <v>374</v>
      </c>
    </row>
    <row r="113" outlineLevel="1">
      <c r="A113" s="15" t="s">
        <v>375</v>
      </c>
      <c r="B113" s="15" t="s">
        <v>376</v>
      </c>
      <c r="C113" s="15" t="s">
        <v>38</v>
      </c>
      <c r="D113" s="16">
        <v>77</v>
      </c>
      <c r="E113" s="16">
        <v>84</v>
      </c>
      <c r="F113" s="16">
        <v>92</v>
      </c>
      <c r="G113" s="17">
        <v>0</v>
      </c>
      <c r="H113" s="15">
        <f>G113*F113</f>
      </c>
      <c r="I113" s="17">
        <f>IF($H$2&gt;45000, D113*G113, IF($H$2&gt;15000, E113*G113, F113*G113)) </f>
      </c>
      <c r="J113" s="15" t="s">
        <v>38</v>
      </c>
      <c r="K113" t="s">
        <v>377</v>
      </c>
    </row>
    <row r="114" outlineLevel="1">
      <c r="A114" s="15" t="s">
        <v>378</v>
      </c>
      <c r="B114" s="15" t="s">
        <v>379</v>
      </c>
      <c r="C114" s="15" t="s">
        <v>38</v>
      </c>
      <c r="D114" s="16">
        <v>63</v>
      </c>
      <c r="E114" s="16">
        <v>69</v>
      </c>
      <c r="F114" s="16">
        <v>76</v>
      </c>
      <c r="G114" s="17">
        <v>0</v>
      </c>
      <c r="H114" s="15">
        <f>G114*F114</f>
      </c>
      <c r="I114" s="17">
        <f>IF($H$2&gt;45000, D114*G114, IF($H$2&gt;15000, E114*G114, F114*G114)) </f>
      </c>
      <c r="J114" s="15" t="s">
        <v>38</v>
      </c>
      <c r="K114" t="s">
        <v>380</v>
      </c>
    </row>
    <row r="115" outlineLevel="1">
      <c r="A115" s="15" t="s">
        <v>381</v>
      </c>
      <c r="B115" s="15" t="s">
        <v>382</v>
      </c>
      <c r="C115" s="15" t="s">
        <v>38</v>
      </c>
      <c r="D115" s="16">
        <v>63</v>
      </c>
      <c r="E115" s="16">
        <v>69</v>
      </c>
      <c r="F115" s="16">
        <v>76</v>
      </c>
      <c r="G115" s="17">
        <v>0</v>
      </c>
      <c r="H115" s="15">
        <f>G115*F115</f>
      </c>
      <c r="I115" s="17">
        <f>IF($H$2&gt;45000, D115*G115, IF($H$2&gt;15000, E115*G115, F115*G115)) </f>
      </c>
      <c r="J115" s="15" t="s">
        <v>38</v>
      </c>
      <c r="K115" t="s">
        <v>383</v>
      </c>
    </row>
    <row r="116" outlineLevel="1">
      <c r="A116" s="15" t="s">
        <v>384</v>
      </c>
      <c r="B116" s="15" t="s">
        <v>385</v>
      </c>
      <c r="C116" s="15" t="s">
        <v>38</v>
      </c>
      <c r="D116" s="16">
        <v>63</v>
      </c>
      <c r="E116" s="16">
        <v>69</v>
      </c>
      <c r="F116" s="16">
        <v>76</v>
      </c>
      <c r="G116" s="17">
        <v>0</v>
      </c>
      <c r="H116" s="15">
        <f>G116*F116</f>
      </c>
      <c r="I116" s="17">
        <f>IF($H$2&gt;45000, D116*G116, IF($H$2&gt;15000, E116*G116, F116*G116)) </f>
      </c>
      <c r="J116" s="15" t="s">
        <v>38</v>
      </c>
      <c r="K116" t="s">
        <v>386</v>
      </c>
    </row>
    <row r="117" outlineLevel="1">
      <c r="A117" s="15" t="s">
        <v>387</v>
      </c>
      <c r="B117" s="15" t="s">
        <v>388</v>
      </c>
      <c r="C117" s="15" t="s">
        <v>38</v>
      </c>
      <c r="D117" s="16">
        <v>63</v>
      </c>
      <c r="E117" s="16">
        <v>69</v>
      </c>
      <c r="F117" s="16">
        <v>76</v>
      </c>
      <c r="G117" s="17">
        <v>0</v>
      </c>
      <c r="H117" s="15">
        <f>G117*F117</f>
      </c>
      <c r="I117" s="17">
        <f>IF($H$2&gt;45000, D117*G117, IF($H$2&gt;15000, E117*G117, F117*G117)) </f>
      </c>
      <c r="J117" s="15" t="s">
        <v>38</v>
      </c>
      <c r="K117" t="s">
        <v>389</v>
      </c>
    </row>
    <row r="118" outlineLevel="1">
      <c r="A118" s="15" t="s">
        <v>390</v>
      </c>
      <c r="B118" s="15" t="s">
        <v>391</v>
      </c>
      <c r="C118" s="15" t="s">
        <v>38</v>
      </c>
      <c r="D118" s="16">
        <v>63</v>
      </c>
      <c r="E118" s="16">
        <v>69</v>
      </c>
      <c r="F118" s="16">
        <v>76</v>
      </c>
      <c r="G118" s="17">
        <v>0</v>
      </c>
      <c r="H118" s="15">
        <f>G118*F118</f>
      </c>
      <c r="I118" s="17">
        <f>IF($H$2&gt;45000, D118*G118, IF($H$2&gt;15000, E118*G118, F118*G118)) </f>
      </c>
      <c r="J118" s="15" t="s">
        <v>38</v>
      </c>
      <c r="K118" t="s">
        <v>392</v>
      </c>
    </row>
    <row r="119" outlineLevel="1">
      <c r="A119" s="15" t="s">
        <v>393</v>
      </c>
      <c r="B119" s="15" t="s">
        <v>394</v>
      </c>
      <c r="C119" s="15" t="s">
        <v>38</v>
      </c>
      <c r="D119" s="16">
        <v>63</v>
      </c>
      <c r="E119" s="16">
        <v>69</v>
      </c>
      <c r="F119" s="16">
        <v>76</v>
      </c>
      <c r="G119" s="17">
        <v>0</v>
      </c>
      <c r="H119" s="15">
        <f>G119*F119</f>
      </c>
      <c r="I119" s="17">
        <f>IF($H$2&gt;45000, D119*G119, IF($H$2&gt;15000, E119*G119, F119*G119)) </f>
      </c>
      <c r="J119" s="15" t="s">
        <v>38</v>
      </c>
      <c r="K119" t="s">
        <v>395</v>
      </c>
    </row>
    <row r="120" outlineLevel="1">
      <c r="A120" s="15" t="s">
        <v>396</v>
      </c>
      <c r="B120" s="15" t="s">
        <v>397</v>
      </c>
      <c r="C120" s="15" t="s">
        <v>38</v>
      </c>
      <c r="D120" s="16">
        <v>72</v>
      </c>
      <c r="E120" s="16">
        <v>79</v>
      </c>
      <c r="F120" s="16">
        <v>86</v>
      </c>
      <c r="G120" s="17">
        <v>0</v>
      </c>
      <c r="H120" s="15">
        <f>G120*F120</f>
      </c>
      <c r="I120" s="17">
        <f>IF($H$2&gt;45000, D120*G120, IF($H$2&gt;15000, E120*G120, F120*G120)) </f>
      </c>
      <c r="J120" s="15" t="s">
        <v>38</v>
      </c>
      <c r="K120" t="s">
        <v>398</v>
      </c>
    </row>
    <row r="121" outlineLevel="1">
      <c r="A121" s="15" t="s">
        <v>399</v>
      </c>
      <c r="B121" s="15" t="s">
        <v>400</v>
      </c>
      <c r="C121" s="15" t="s">
        <v>38</v>
      </c>
      <c r="D121" s="16">
        <v>63</v>
      </c>
      <c r="E121" s="16">
        <v>69</v>
      </c>
      <c r="F121" s="16">
        <v>76</v>
      </c>
      <c r="G121" s="17">
        <v>0</v>
      </c>
      <c r="H121" s="15">
        <f>G121*F121</f>
      </c>
      <c r="I121" s="17">
        <f>IF($H$2&gt;45000, D121*G121, IF($H$2&gt;15000, E121*G121, F121*G121)) </f>
      </c>
      <c r="J121" s="15" t="s">
        <v>38</v>
      </c>
      <c r="K121" t="s">
        <v>401</v>
      </c>
    </row>
    <row r="122" outlineLevel="1">
      <c r="A122" s="15" t="s">
        <v>402</v>
      </c>
      <c r="B122" s="15" t="s">
        <v>403</v>
      </c>
      <c r="C122" s="15" t="s">
        <v>38</v>
      </c>
      <c r="D122" s="16">
        <v>63</v>
      </c>
      <c r="E122" s="16">
        <v>69</v>
      </c>
      <c r="F122" s="16">
        <v>76</v>
      </c>
      <c r="G122" s="17">
        <v>0</v>
      </c>
      <c r="H122" s="15">
        <f>G122*F122</f>
      </c>
      <c r="I122" s="17">
        <f>IF($H$2&gt;45000, D122*G122, IF($H$2&gt;15000, E122*G122, F122*G122)) </f>
      </c>
      <c r="J122" s="15" t="s">
        <v>38</v>
      </c>
      <c r="K122" t="s">
        <v>404</v>
      </c>
    </row>
    <row r="123" outlineLevel="1">
      <c r="A123" s="15" t="s">
        <v>405</v>
      </c>
      <c r="B123" s="15" t="s">
        <v>406</v>
      </c>
      <c r="C123" s="15" t="s">
        <v>38</v>
      </c>
      <c r="D123" s="16">
        <v>63</v>
      </c>
      <c r="E123" s="16">
        <v>69</v>
      </c>
      <c r="F123" s="16">
        <v>76</v>
      </c>
      <c r="G123" s="17">
        <v>0</v>
      </c>
      <c r="H123" s="15">
        <f>G123*F123</f>
      </c>
      <c r="I123" s="17">
        <f>IF($H$2&gt;45000, D123*G123, IF($H$2&gt;15000, E123*G123, F123*G123)) </f>
      </c>
      <c r="J123" s="15" t="s">
        <v>38</v>
      </c>
      <c r="K123" t="s">
        <v>407</v>
      </c>
    </row>
    <row r="124" outlineLevel="1">
      <c r="A124" s="15" t="s">
        <v>408</v>
      </c>
      <c r="B124" s="15" t="s">
        <v>409</v>
      </c>
      <c r="C124" s="15" t="s">
        <v>38</v>
      </c>
      <c r="D124" s="16">
        <v>63</v>
      </c>
      <c r="E124" s="16">
        <v>69</v>
      </c>
      <c r="F124" s="16">
        <v>76</v>
      </c>
      <c r="G124" s="17">
        <v>0</v>
      </c>
      <c r="H124" s="15">
        <f>G124*F124</f>
      </c>
      <c r="I124" s="17">
        <f>IF($H$2&gt;45000, D124*G124, IF($H$2&gt;15000, E124*G124, F124*G124)) </f>
      </c>
      <c r="J124" s="15" t="s">
        <v>38</v>
      </c>
      <c r="K124" t="s">
        <v>410</v>
      </c>
    </row>
    <row r="125" outlineLevel="1">
      <c r="A125" s="15" t="s">
        <v>411</v>
      </c>
      <c r="B125" s="15" t="s">
        <v>412</v>
      </c>
      <c r="C125" s="15" t="s">
        <v>38</v>
      </c>
      <c r="D125" s="16">
        <v>63</v>
      </c>
      <c r="E125" s="16">
        <v>69</v>
      </c>
      <c r="F125" s="16">
        <v>76</v>
      </c>
      <c r="G125" s="17">
        <v>0</v>
      </c>
      <c r="H125" s="15">
        <f>G125*F125</f>
      </c>
      <c r="I125" s="17">
        <f>IF($H$2&gt;45000, D125*G125, IF($H$2&gt;15000, E125*G125, F125*G125)) </f>
      </c>
      <c r="J125" s="15" t="s">
        <v>38</v>
      </c>
      <c r="K125" t="s">
        <v>413</v>
      </c>
    </row>
    <row r="126" outlineLevel="1">
      <c r="A126" s="15" t="s">
        <v>414</v>
      </c>
      <c r="B126" s="15" t="s">
        <v>415</v>
      </c>
      <c r="C126" s="15" t="s">
        <v>38</v>
      </c>
      <c r="D126" s="16">
        <v>63</v>
      </c>
      <c r="E126" s="16">
        <v>69</v>
      </c>
      <c r="F126" s="16">
        <v>76</v>
      </c>
      <c r="G126" s="17">
        <v>0</v>
      </c>
      <c r="H126" s="15">
        <f>G126*F126</f>
      </c>
      <c r="I126" s="17">
        <f>IF($H$2&gt;45000, D126*G126, IF($H$2&gt;15000, E126*G126, F126*G126)) </f>
      </c>
      <c r="J126" s="15" t="s">
        <v>38</v>
      </c>
      <c r="K126" t="s">
        <v>416</v>
      </c>
    </row>
    <row r="127" outlineLevel="1">
      <c r="A127" s="15" t="s">
        <v>417</v>
      </c>
      <c r="B127" s="15" t="s">
        <v>418</v>
      </c>
      <c r="C127" s="15" t="s">
        <v>38</v>
      </c>
      <c r="D127" s="16">
        <v>72</v>
      </c>
      <c r="E127" s="16">
        <v>79</v>
      </c>
      <c r="F127" s="16">
        <v>86</v>
      </c>
      <c r="G127" s="17">
        <v>0</v>
      </c>
      <c r="H127" s="15">
        <f>G127*F127</f>
      </c>
      <c r="I127" s="17">
        <f>IF($H$2&gt;45000, D127*G127, IF($H$2&gt;15000, E127*G127, F127*G127)) </f>
      </c>
      <c r="J127" s="15" t="s">
        <v>38</v>
      </c>
      <c r="K127" t="s">
        <v>419</v>
      </c>
    </row>
    <row r="128" outlineLevel="1">
      <c r="A128" s="15" t="s">
        <v>420</v>
      </c>
      <c r="B128" s="15" t="s">
        <v>421</v>
      </c>
      <c r="C128" s="15" t="s">
        <v>38</v>
      </c>
      <c r="D128" s="16">
        <v>72</v>
      </c>
      <c r="E128" s="16">
        <v>79</v>
      </c>
      <c r="F128" s="16">
        <v>86</v>
      </c>
      <c r="G128" s="17">
        <v>0</v>
      </c>
      <c r="H128" s="15">
        <f>G128*F128</f>
      </c>
      <c r="I128" s="17">
        <f>IF($H$2&gt;45000, D128*G128, IF($H$2&gt;15000, E128*G128, F128*G128)) </f>
      </c>
      <c r="J128" s="15" t="s">
        <v>38</v>
      </c>
      <c r="K128" t="s">
        <v>422</v>
      </c>
    </row>
    <row r="129" outlineLevel="1">
      <c r="A129" s="15" t="s">
        <v>423</v>
      </c>
      <c r="B129" s="15" t="s">
        <v>424</v>
      </c>
      <c r="C129" s="15" t="s">
        <v>38</v>
      </c>
      <c r="D129" s="16">
        <v>67</v>
      </c>
      <c r="E129" s="16">
        <v>73</v>
      </c>
      <c r="F129" s="16">
        <v>81</v>
      </c>
      <c r="G129" s="17">
        <v>0</v>
      </c>
      <c r="H129" s="15">
        <f>G129*F129</f>
      </c>
      <c r="I129" s="17">
        <f>IF($H$2&gt;45000, D129*G129, IF($H$2&gt;15000, E129*G129, F129*G129)) </f>
      </c>
      <c r="J129" s="15" t="s">
        <v>38</v>
      </c>
      <c r="K129" t="s">
        <v>425</v>
      </c>
    </row>
    <row r="130" outlineLevel="1">
      <c r="A130" s="15" t="s">
        <v>426</v>
      </c>
      <c r="B130" s="15" t="s">
        <v>427</v>
      </c>
      <c r="C130" s="15" t="s">
        <v>38</v>
      </c>
      <c r="D130" s="16">
        <v>67</v>
      </c>
      <c r="E130" s="16">
        <v>73</v>
      </c>
      <c r="F130" s="16">
        <v>80</v>
      </c>
      <c r="G130" s="17">
        <v>0</v>
      </c>
      <c r="H130" s="15">
        <f>G130*F130</f>
      </c>
      <c r="I130" s="17">
        <f>IF($H$2&gt;45000, D130*G130, IF($H$2&gt;15000, E130*G130, F130*G130)) </f>
      </c>
      <c r="J130" s="15" t="s">
        <v>38</v>
      </c>
      <c r="K130" t="s">
        <v>428</v>
      </c>
    </row>
    <row r="131" outlineLevel="1">
      <c r="A131" s="15" t="s">
        <v>429</v>
      </c>
      <c r="B131" s="15" t="s">
        <v>430</v>
      </c>
      <c r="C131" s="15" t="s">
        <v>38</v>
      </c>
      <c r="D131" s="16">
        <v>68</v>
      </c>
      <c r="E131" s="16">
        <v>74</v>
      </c>
      <c r="F131" s="16">
        <v>81</v>
      </c>
      <c r="G131" s="17">
        <v>0</v>
      </c>
      <c r="H131" s="15">
        <f>G131*F131</f>
      </c>
      <c r="I131" s="17">
        <f>IF($H$2&gt;45000, D131*G131, IF($H$2&gt;15000, E131*G131, F131*G131)) </f>
      </c>
      <c r="J131" s="15" t="s">
        <v>38</v>
      </c>
      <c r="K131" t="s">
        <v>431</v>
      </c>
    </row>
    <row r="132" outlineLevel="1">
      <c r="A132" s="15" t="s">
        <v>432</v>
      </c>
      <c r="B132" s="15" t="s">
        <v>433</v>
      </c>
      <c r="C132" s="15" t="s">
        <v>38</v>
      </c>
      <c r="D132" s="16">
        <v>63</v>
      </c>
      <c r="E132" s="16">
        <v>69</v>
      </c>
      <c r="F132" s="16">
        <v>76</v>
      </c>
      <c r="G132" s="17">
        <v>0</v>
      </c>
      <c r="H132" s="15">
        <f>G132*F132</f>
      </c>
      <c r="I132" s="17">
        <f>IF($H$2&gt;45000, D132*G132, IF($H$2&gt;15000, E132*G132, F132*G132)) </f>
      </c>
      <c r="J132" s="15" t="s">
        <v>38</v>
      </c>
      <c r="K132" t="s">
        <v>434</v>
      </c>
    </row>
    <row r="133" outlineLevel="1">
      <c r="A133" s="15" t="s">
        <v>435</v>
      </c>
      <c r="B133" s="15" t="s">
        <v>436</v>
      </c>
      <c r="C133" s="15" t="s">
        <v>38</v>
      </c>
      <c r="D133" s="16">
        <v>68</v>
      </c>
      <c r="E133" s="16">
        <v>74</v>
      </c>
      <c r="F133" s="16">
        <v>82</v>
      </c>
      <c r="G133" s="17">
        <v>0</v>
      </c>
      <c r="H133" s="15">
        <f>G133*F133</f>
      </c>
      <c r="I133" s="17">
        <f>IF($H$2&gt;45000, D133*G133, IF($H$2&gt;15000, E133*G133, F133*G133)) </f>
      </c>
      <c r="J133" s="15" t="s">
        <v>38</v>
      </c>
      <c r="K133" t="s">
        <v>437</v>
      </c>
    </row>
    <row r="134" outlineLevel="1">
      <c r="A134" s="15" t="s">
        <v>438</v>
      </c>
      <c r="B134" s="15" t="s">
        <v>439</v>
      </c>
      <c r="C134" s="15" t="s">
        <v>38</v>
      </c>
      <c r="D134" s="16">
        <v>72</v>
      </c>
      <c r="E134" s="16">
        <v>79</v>
      </c>
      <c r="F134" s="16">
        <v>86</v>
      </c>
      <c r="G134" s="17">
        <v>0</v>
      </c>
      <c r="H134" s="15">
        <f>G134*F134</f>
      </c>
      <c r="I134" s="17">
        <f>IF($H$2&gt;45000, D134*G134, IF($H$2&gt;15000, E134*G134, F134*G134)) </f>
      </c>
      <c r="J134" s="15" t="s">
        <v>38</v>
      </c>
      <c r="K134" t="s">
        <v>440</v>
      </c>
    </row>
    <row r="135" outlineLevel="1">
      <c r="A135" s="15" t="s">
        <v>441</v>
      </c>
      <c r="B135" s="15" t="s">
        <v>442</v>
      </c>
      <c r="C135" s="15" t="s">
        <v>38</v>
      </c>
      <c r="D135" s="16">
        <v>69</v>
      </c>
      <c r="E135" s="16">
        <v>75</v>
      </c>
      <c r="F135" s="16">
        <v>83</v>
      </c>
      <c r="G135" s="17">
        <v>0</v>
      </c>
      <c r="H135" s="15">
        <f>G135*F135</f>
      </c>
      <c r="I135" s="17">
        <f>IF($H$2&gt;45000, D135*G135, IF($H$2&gt;15000, E135*G135, F135*G135)) </f>
      </c>
      <c r="J135" s="15" t="s">
        <v>38</v>
      </c>
      <c r="K135" t="s">
        <v>443</v>
      </c>
    </row>
    <row r="136" outlineLevel="1">
      <c r="A136" s="15" t="s">
        <v>444</v>
      </c>
      <c r="B136" s="15" t="s">
        <v>445</v>
      </c>
      <c r="C136" s="15" t="s">
        <v>38</v>
      </c>
      <c r="D136" s="16">
        <v>72</v>
      </c>
      <c r="E136" s="16">
        <v>79</v>
      </c>
      <c r="F136" s="16">
        <v>86</v>
      </c>
      <c r="G136" s="17">
        <v>0</v>
      </c>
      <c r="H136" s="15">
        <f>G136*F136</f>
      </c>
      <c r="I136" s="17">
        <f>IF($H$2&gt;45000, D136*G136, IF($H$2&gt;15000, E136*G136, F136*G136)) </f>
      </c>
      <c r="J136" s="15" t="s">
        <v>38</v>
      </c>
      <c r="K136" t="s">
        <v>446</v>
      </c>
    </row>
    <row r="137" outlineLevel="1">
      <c r="A137" s="15" t="s">
        <v>447</v>
      </c>
      <c r="B137" s="15" t="s">
        <v>448</v>
      </c>
      <c r="C137" s="15" t="s">
        <v>38</v>
      </c>
      <c r="D137" s="16">
        <v>72</v>
      </c>
      <c r="E137" s="16">
        <v>79</v>
      </c>
      <c r="F137" s="16">
        <v>86</v>
      </c>
      <c r="G137" s="17">
        <v>0</v>
      </c>
      <c r="H137" s="15">
        <f>G137*F137</f>
      </c>
      <c r="I137" s="17">
        <f>IF($H$2&gt;45000, D137*G137, IF($H$2&gt;15000, E137*G137, F137*G137)) </f>
      </c>
      <c r="J137" s="15" t="s">
        <v>38</v>
      </c>
      <c r="K137" t="s">
        <v>449</v>
      </c>
    </row>
    <row r="138" outlineLevel="1">
      <c r="A138" s="15" t="s">
        <v>450</v>
      </c>
      <c r="B138" s="15" t="s">
        <v>451</v>
      </c>
      <c r="C138" s="15" t="s">
        <v>38</v>
      </c>
      <c r="D138" s="16">
        <v>68</v>
      </c>
      <c r="E138" s="16">
        <v>74</v>
      </c>
      <c r="F138" s="16">
        <v>81</v>
      </c>
      <c r="G138" s="17">
        <v>0</v>
      </c>
      <c r="H138" s="15">
        <f>G138*F138</f>
      </c>
      <c r="I138" s="17">
        <f>IF($H$2&gt;45000, D138*G138, IF($H$2&gt;15000, E138*G138, F138*G138)) </f>
      </c>
      <c r="J138" s="15" t="s">
        <v>38</v>
      </c>
      <c r="K138" t="s">
        <v>452</v>
      </c>
    </row>
    <row r="139" outlineLevel="1">
      <c r="A139" s="15" t="s">
        <v>453</v>
      </c>
      <c r="B139" s="15" t="s">
        <v>454</v>
      </c>
      <c r="C139" s="15" t="s">
        <v>38</v>
      </c>
      <c r="D139" s="16">
        <v>63</v>
      </c>
      <c r="E139" s="16">
        <v>69</v>
      </c>
      <c r="F139" s="16">
        <v>76</v>
      </c>
      <c r="G139" s="17">
        <v>0</v>
      </c>
      <c r="H139" s="15">
        <f>G139*F139</f>
      </c>
      <c r="I139" s="17">
        <f>IF($H$2&gt;45000, D139*G139, IF($H$2&gt;15000, E139*G139, F139*G139)) </f>
      </c>
      <c r="J139" s="15" t="s">
        <v>38</v>
      </c>
      <c r="K139" t="s">
        <v>455</v>
      </c>
    </row>
    <row r="140" outlineLevel="1">
      <c r="A140" s="15" t="s">
        <v>456</v>
      </c>
      <c r="B140" s="15" t="s">
        <v>457</v>
      </c>
      <c r="C140" s="15" t="s">
        <v>38</v>
      </c>
      <c r="D140" s="16">
        <v>63</v>
      </c>
      <c r="E140" s="16">
        <v>69</v>
      </c>
      <c r="F140" s="16">
        <v>76</v>
      </c>
      <c r="G140" s="17">
        <v>0</v>
      </c>
      <c r="H140" s="15">
        <f>G140*F140</f>
      </c>
      <c r="I140" s="17">
        <f>IF($H$2&gt;45000, D140*G140, IF($H$2&gt;15000, E140*G140, F140*G140)) </f>
      </c>
      <c r="J140" s="15" t="s">
        <v>38</v>
      </c>
      <c r="K140" t="s">
        <v>458</v>
      </c>
    </row>
    <row r="141" outlineLevel="1">
      <c r="A141" s="15" t="s">
        <v>459</v>
      </c>
      <c r="B141" s="15" t="s">
        <v>460</v>
      </c>
      <c r="C141" s="15" t="s">
        <v>38</v>
      </c>
      <c r="D141" s="16">
        <v>63</v>
      </c>
      <c r="E141" s="16">
        <v>69</v>
      </c>
      <c r="F141" s="16">
        <v>76</v>
      </c>
      <c r="G141" s="17">
        <v>0</v>
      </c>
      <c r="H141" s="15">
        <f>G141*F141</f>
      </c>
      <c r="I141" s="17">
        <f>IF($H$2&gt;45000, D141*G141, IF($H$2&gt;15000, E141*G141, F141*G141)) </f>
      </c>
      <c r="J141" s="15" t="s">
        <v>38</v>
      </c>
      <c r="K141" t="s">
        <v>461</v>
      </c>
    </row>
    <row r="142" outlineLevel="1">
      <c r="A142" s="15" t="s">
        <v>462</v>
      </c>
      <c r="B142" s="15" t="s">
        <v>463</v>
      </c>
      <c r="C142" s="15" t="s">
        <v>38</v>
      </c>
      <c r="D142" s="16">
        <v>68</v>
      </c>
      <c r="E142" s="16">
        <v>74</v>
      </c>
      <c r="F142" s="16">
        <v>81</v>
      </c>
      <c r="G142" s="17">
        <v>0</v>
      </c>
      <c r="H142" s="15">
        <f>G142*F142</f>
      </c>
      <c r="I142" s="17">
        <f>IF($H$2&gt;45000, D142*G142, IF($H$2&gt;15000, E142*G142, F142*G142)) </f>
      </c>
      <c r="J142" s="15" t="s">
        <v>38</v>
      </c>
      <c r="K142" t="s">
        <v>464</v>
      </c>
    </row>
    <row r="143" outlineLevel="1">
      <c r="A143" s="15" t="s">
        <v>465</v>
      </c>
      <c r="B143" s="15" t="s">
        <v>466</v>
      </c>
      <c r="C143" s="15" t="s">
        <v>38</v>
      </c>
      <c r="D143" s="16">
        <v>63</v>
      </c>
      <c r="E143" s="16">
        <v>69</v>
      </c>
      <c r="F143" s="16">
        <v>76</v>
      </c>
      <c r="G143" s="17">
        <v>0</v>
      </c>
      <c r="H143" s="15">
        <f>G143*F143</f>
      </c>
      <c r="I143" s="17">
        <f>IF($H$2&gt;45000, D143*G143, IF($H$2&gt;15000, E143*G143, F143*G143)) </f>
      </c>
      <c r="J143" s="15" t="s">
        <v>38</v>
      </c>
      <c r="K143" t="s">
        <v>467</v>
      </c>
    </row>
    <row r="144" outlineLevel="1">
      <c r="A144" s="15" t="s">
        <v>468</v>
      </c>
      <c r="B144" s="15" t="s">
        <v>469</v>
      </c>
      <c r="C144" s="15" t="s">
        <v>38</v>
      </c>
      <c r="D144" s="16">
        <v>63</v>
      </c>
      <c r="E144" s="16">
        <v>69</v>
      </c>
      <c r="F144" s="16">
        <v>76</v>
      </c>
      <c r="G144" s="17">
        <v>0</v>
      </c>
      <c r="H144" s="15">
        <f>G144*F144</f>
      </c>
      <c r="I144" s="17">
        <f>IF($H$2&gt;45000, D144*G144, IF($H$2&gt;15000, E144*G144, F144*G144)) </f>
      </c>
      <c r="J144" s="15" t="s">
        <v>38</v>
      </c>
      <c r="K144" t="s">
        <v>470</v>
      </c>
    </row>
    <row r="145" outlineLevel="1">
      <c r="A145" s="15" t="s">
        <v>471</v>
      </c>
      <c r="B145" s="15" t="s">
        <v>472</v>
      </c>
      <c r="C145" s="15" t="s">
        <v>38</v>
      </c>
      <c r="D145" s="16">
        <v>63</v>
      </c>
      <c r="E145" s="16">
        <v>69</v>
      </c>
      <c r="F145" s="16">
        <v>76</v>
      </c>
      <c r="G145" s="17">
        <v>0</v>
      </c>
      <c r="H145" s="15">
        <f>G145*F145</f>
      </c>
      <c r="I145" s="17">
        <f>IF($H$2&gt;45000, D145*G145, IF($H$2&gt;15000, E145*G145, F145*G145)) </f>
      </c>
      <c r="J145" s="15" t="s">
        <v>38</v>
      </c>
      <c r="K145" t="s">
        <v>473</v>
      </c>
    </row>
    <row r="146" outlineLevel="1">
      <c r="A146" s="15" t="s">
        <v>474</v>
      </c>
      <c r="B146" s="15" t="s">
        <v>475</v>
      </c>
      <c r="C146" s="15" t="s">
        <v>38</v>
      </c>
      <c r="D146" s="16">
        <v>63</v>
      </c>
      <c r="E146" s="16">
        <v>69</v>
      </c>
      <c r="F146" s="16">
        <v>76</v>
      </c>
      <c r="G146" s="17">
        <v>0</v>
      </c>
      <c r="H146" s="15">
        <f>G146*F146</f>
      </c>
      <c r="I146" s="17">
        <f>IF($H$2&gt;45000, D146*G146, IF($H$2&gt;15000, E146*G146, F146*G146)) </f>
      </c>
      <c r="J146" s="15" t="s">
        <v>38</v>
      </c>
      <c r="K146" t="s">
        <v>476</v>
      </c>
    </row>
    <row r="147" outlineLevel="1">
      <c r="A147" s="15" t="s">
        <v>477</v>
      </c>
      <c r="B147" s="15" t="s">
        <v>478</v>
      </c>
      <c r="C147" s="15" t="s">
        <v>38</v>
      </c>
      <c r="D147" s="16">
        <v>63</v>
      </c>
      <c r="E147" s="16">
        <v>69</v>
      </c>
      <c r="F147" s="16">
        <v>76</v>
      </c>
      <c r="G147" s="17">
        <v>0</v>
      </c>
      <c r="H147" s="15">
        <f>G147*F147</f>
      </c>
      <c r="I147" s="17">
        <f>IF($H$2&gt;45000, D147*G147, IF($H$2&gt;15000, E147*G147, F147*G147)) </f>
      </c>
      <c r="J147" s="15" t="s">
        <v>38</v>
      </c>
      <c r="K147" t="s">
        <v>479</v>
      </c>
    </row>
    <row r="148" outlineLevel="1">
      <c r="A148" s="15" t="s">
        <v>480</v>
      </c>
      <c r="B148" s="15" t="s">
        <v>481</v>
      </c>
      <c r="C148" s="15" t="s">
        <v>38</v>
      </c>
      <c r="D148" s="16">
        <v>71</v>
      </c>
      <c r="E148" s="16">
        <v>77</v>
      </c>
      <c r="F148" s="16">
        <v>85</v>
      </c>
      <c r="G148" s="17">
        <v>0</v>
      </c>
      <c r="H148" s="15">
        <f>G148*F148</f>
      </c>
      <c r="I148" s="17">
        <f>IF($H$2&gt;45000, D148*G148, IF($H$2&gt;15000, E148*G148, F148*G148)) </f>
      </c>
      <c r="J148" s="15" t="s">
        <v>38</v>
      </c>
      <c r="K148" t="s">
        <v>482</v>
      </c>
    </row>
    <row r="149" outlineLevel="1">
      <c r="A149" s="15" t="s">
        <v>483</v>
      </c>
      <c r="B149" s="15" t="s">
        <v>484</v>
      </c>
      <c r="C149" s="15" t="s">
        <v>38</v>
      </c>
      <c r="D149" s="16">
        <v>66</v>
      </c>
      <c r="E149" s="16">
        <v>72</v>
      </c>
      <c r="F149" s="16">
        <v>79</v>
      </c>
      <c r="G149" s="17">
        <v>0</v>
      </c>
      <c r="H149" s="15">
        <f>G149*F149</f>
      </c>
      <c r="I149" s="17">
        <f>IF($H$2&gt;45000, D149*G149, IF($H$2&gt;15000, E149*G149, F149*G149)) </f>
      </c>
      <c r="J149" s="15" t="s">
        <v>38</v>
      </c>
      <c r="K149" t="s">
        <v>485</v>
      </c>
    </row>
    <row r="150" outlineLevel="1">
      <c r="A150" s="15" t="s">
        <v>486</v>
      </c>
      <c r="B150" s="15" t="s">
        <v>487</v>
      </c>
      <c r="C150" s="15" t="s">
        <v>38</v>
      </c>
      <c r="D150" s="16">
        <v>103</v>
      </c>
      <c r="E150" s="16">
        <v>113</v>
      </c>
      <c r="F150" s="16">
        <v>124</v>
      </c>
      <c r="G150" s="17">
        <v>0</v>
      </c>
      <c r="H150" s="15">
        <f>G150*F150</f>
      </c>
      <c r="I150" s="17">
        <f>IF($H$2&gt;45000, D150*G150, IF($H$2&gt;15000, E150*G150, F150*G150)) </f>
      </c>
      <c r="J150" s="15" t="s">
        <v>38</v>
      </c>
      <c r="K150" t="s">
        <v>488</v>
      </c>
    </row>
    <row r="151" outlineLevel="1">
      <c r="A151" s="15" t="s">
        <v>489</v>
      </c>
      <c r="B151" s="15" t="s">
        <v>490</v>
      </c>
      <c r="C151" s="15" t="s">
        <v>38</v>
      </c>
      <c r="D151" s="16">
        <v>103</v>
      </c>
      <c r="E151" s="16">
        <v>113</v>
      </c>
      <c r="F151" s="16">
        <v>124</v>
      </c>
      <c r="G151" s="17">
        <v>0</v>
      </c>
      <c r="H151" s="15">
        <f>G151*F151</f>
      </c>
      <c r="I151" s="17">
        <f>IF($H$2&gt;45000, D151*G151, IF($H$2&gt;15000, E151*G151, F151*G151)) </f>
      </c>
      <c r="J151" s="15" t="s">
        <v>38</v>
      </c>
      <c r="K151" t="s">
        <v>491</v>
      </c>
    </row>
    <row r="152" outlineLevel="1">
      <c r="A152" s="15" t="s">
        <v>492</v>
      </c>
      <c r="B152" s="15" t="s">
        <v>493</v>
      </c>
      <c r="C152" s="15" t="s">
        <v>38</v>
      </c>
      <c r="D152" s="16">
        <v>103</v>
      </c>
      <c r="E152" s="16">
        <v>113</v>
      </c>
      <c r="F152" s="16">
        <v>124</v>
      </c>
      <c r="G152" s="17">
        <v>0</v>
      </c>
      <c r="H152" s="15">
        <f>G152*F152</f>
      </c>
      <c r="I152" s="17">
        <f>IF($H$2&gt;45000, D152*G152, IF($H$2&gt;15000, E152*G152, F152*G152)) </f>
      </c>
      <c r="J152" s="15" t="s">
        <v>38</v>
      </c>
      <c r="K152" t="s">
        <v>494</v>
      </c>
    </row>
    <row r="153" outlineLevel="1">
      <c r="A153" s="15" t="s">
        <v>495</v>
      </c>
      <c r="B153" s="15" t="s">
        <v>496</v>
      </c>
      <c r="C153" s="15" t="s">
        <v>38</v>
      </c>
      <c r="D153" s="16">
        <v>103</v>
      </c>
      <c r="E153" s="16">
        <v>113</v>
      </c>
      <c r="F153" s="16">
        <v>124</v>
      </c>
      <c r="G153" s="17">
        <v>0</v>
      </c>
      <c r="H153" s="15">
        <f>G153*F153</f>
      </c>
      <c r="I153" s="17">
        <f>IF($H$2&gt;45000, D153*G153, IF($H$2&gt;15000, E153*G153, F153*G153)) </f>
      </c>
      <c r="J153" s="15" t="s">
        <v>38</v>
      </c>
      <c r="K153" t="s">
        <v>497</v>
      </c>
    </row>
    <row r="154" outlineLevel="1">
      <c r="A154" s="15" t="s">
        <v>498</v>
      </c>
      <c r="B154" s="15" t="s">
        <v>499</v>
      </c>
      <c r="C154" s="15" t="s">
        <v>38</v>
      </c>
      <c r="D154" s="16">
        <v>103</v>
      </c>
      <c r="E154" s="16">
        <v>113</v>
      </c>
      <c r="F154" s="16">
        <v>124</v>
      </c>
      <c r="G154" s="17">
        <v>0</v>
      </c>
      <c r="H154" s="15">
        <f>G154*F154</f>
      </c>
      <c r="I154" s="17">
        <f>IF($H$2&gt;45000, D154*G154, IF($H$2&gt;15000, E154*G154, F154*G154)) </f>
      </c>
      <c r="J154" s="15" t="s">
        <v>38</v>
      </c>
      <c r="K154" t="s">
        <v>500</v>
      </c>
    </row>
    <row r="155" outlineLevel="1">
      <c r="A155" s="15" t="s">
        <v>501</v>
      </c>
      <c r="B155" s="15" t="s">
        <v>502</v>
      </c>
      <c r="C155" s="15" t="s">
        <v>38</v>
      </c>
      <c r="D155" s="16">
        <v>103</v>
      </c>
      <c r="E155" s="16">
        <v>113</v>
      </c>
      <c r="F155" s="16">
        <v>124</v>
      </c>
      <c r="G155" s="17">
        <v>0</v>
      </c>
      <c r="H155" s="15">
        <f>G155*F155</f>
      </c>
      <c r="I155" s="17">
        <f>IF($H$2&gt;45000, D155*G155, IF($H$2&gt;15000, E155*G155, F155*G155)) </f>
      </c>
      <c r="J155" s="15" t="s">
        <v>38</v>
      </c>
      <c r="K155" t="s">
        <v>503</v>
      </c>
    </row>
    <row r="156" outlineLevel="1">
      <c r="A156" s="15" t="s">
        <v>504</v>
      </c>
      <c r="B156" s="15" t="s">
        <v>505</v>
      </c>
      <c r="C156" s="15" t="s">
        <v>38</v>
      </c>
      <c r="D156" s="16">
        <v>63</v>
      </c>
      <c r="E156" s="16">
        <v>69</v>
      </c>
      <c r="F156" s="16">
        <v>76</v>
      </c>
      <c r="G156" s="17">
        <v>0</v>
      </c>
      <c r="H156" s="15">
        <f>G156*F156</f>
      </c>
      <c r="I156" s="17">
        <f>IF($H$2&gt;45000, D156*G156, IF($H$2&gt;15000, E156*G156, F156*G156)) </f>
      </c>
      <c r="J156" s="15" t="s">
        <v>38</v>
      </c>
      <c r="K156" t="s">
        <v>506</v>
      </c>
    </row>
    <row r="157" outlineLevel="1">
      <c r="A157" s="15" t="s">
        <v>507</v>
      </c>
      <c r="B157" s="15" t="s">
        <v>508</v>
      </c>
      <c r="C157" s="15" t="s">
        <v>38</v>
      </c>
      <c r="D157" s="16">
        <v>103</v>
      </c>
      <c r="E157" s="16">
        <v>113</v>
      </c>
      <c r="F157" s="16">
        <v>124</v>
      </c>
      <c r="G157" s="17">
        <v>0</v>
      </c>
      <c r="H157" s="15">
        <f>G157*F157</f>
      </c>
      <c r="I157" s="17">
        <f>IF($H$2&gt;45000, D157*G157, IF($H$2&gt;15000, E157*G157, F157*G157)) </f>
      </c>
      <c r="J157" s="15" t="s">
        <v>38</v>
      </c>
      <c r="K157" t="s">
        <v>509</v>
      </c>
    </row>
    <row r="158" outlineLevel="1">
      <c r="A158" s="15" t="s">
        <v>510</v>
      </c>
      <c r="B158" s="15" t="s">
        <v>511</v>
      </c>
      <c r="C158" s="15" t="s">
        <v>38</v>
      </c>
      <c r="D158" s="16">
        <v>103</v>
      </c>
      <c r="E158" s="16">
        <v>113</v>
      </c>
      <c r="F158" s="16">
        <v>124</v>
      </c>
      <c r="G158" s="17">
        <v>0</v>
      </c>
      <c r="H158" s="15">
        <f>G158*F158</f>
      </c>
      <c r="I158" s="17">
        <f>IF($H$2&gt;45000, D158*G158, IF($H$2&gt;15000, E158*G158, F158*G158)) </f>
      </c>
      <c r="J158" s="15" t="s">
        <v>38</v>
      </c>
      <c r="K158" t="s">
        <v>512</v>
      </c>
    </row>
    <row r="159" outlineLevel="1">
      <c r="A159" s="15" t="s">
        <v>513</v>
      </c>
      <c r="B159" s="15" t="s">
        <v>514</v>
      </c>
      <c r="C159" s="15" t="s">
        <v>38</v>
      </c>
      <c r="D159" s="16">
        <v>70</v>
      </c>
      <c r="E159" s="16">
        <v>77</v>
      </c>
      <c r="F159" s="16">
        <v>84</v>
      </c>
      <c r="G159" s="17">
        <v>0</v>
      </c>
      <c r="H159" s="15">
        <f>G159*F159</f>
      </c>
      <c r="I159" s="17">
        <f>IF($H$2&gt;45000, D159*G159, IF($H$2&gt;15000, E159*G159, F159*G159)) </f>
      </c>
      <c r="J159" s="15" t="s">
        <v>38</v>
      </c>
      <c r="K159" t="s">
        <v>515</v>
      </c>
    </row>
    <row r="160" outlineLevel="1">
      <c r="A160" s="15" t="s">
        <v>516</v>
      </c>
      <c r="B160" s="15" t="s">
        <v>517</v>
      </c>
      <c r="C160" s="15" t="s">
        <v>38</v>
      </c>
      <c r="D160" s="16">
        <v>72</v>
      </c>
      <c r="E160" s="16">
        <v>79</v>
      </c>
      <c r="F160" s="16">
        <v>86</v>
      </c>
      <c r="G160" s="17">
        <v>0</v>
      </c>
      <c r="H160" s="15">
        <f>G160*F160</f>
      </c>
      <c r="I160" s="17">
        <f>IF($H$2&gt;45000, D160*G160, IF($H$2&gt;15000, E160*G160, F160*G160)) </f>
      </c>
      <c r="J160" s="15" t="s">
        <v>38</v>
      </c>
      <c r="K160" t="s">
        <v>518</v>
      </c>
    </row>
    <row r="161" outlineLevel="1">
      <c r="A161" s="15" t="s">
        <v>519</v>
      </c>
      <c r="B161" s="15" t="s">
        <v>520</v>
      </c>
      <c r="C161" s="15" t="s">
        <v>38</v>
      </c>
      <c r="D161" s="16">
        <v>63</v>
      </c>
      <c r="E161" s="16">
        <v>69</v>
      </c>
      <c r="F161" s="16">
        <v>76</v>
      </c>
      <c r="G161" s="17">
        <v>0</v>
      </c>
      <c r="H161" s="15">
        <f>G161*F161</f>
      </c>
      <c r="I161" s="17">
        <f>IF($H$2&gt;45000, D161*G161, IF($H$2&gt;15000, E161*G161, F161*G161)) </f>
      </c>
      <c r="J161" s="15" t="s">
        <v>38</v>
      </c>
      <c r="K161" t="s">
        <v>521</v>
      </c>
    </row>
    <row r="162" outlineLevel="1">
      <c r="A162" s="15" t="s">
        <v>522</v>
      </c>
      <c r="B162" s="15" t="s">
        <v>523</v>
      </c>
      <c r="C162" s="15" t="s">
        <v>38</v>
      </c>
      <c r="D162" s="16">
        <v>70</v>
      </c>
      <c r="E162" s="16">
        <v>77</v>
      </c>
      <c r="F162" s="16">
        <v>84</v>
      </c>
      <c r="G162" s="17">
        <v>0</v>
      </c>
      <c r="H162" s="15">
        <f>G162*F162</f>
      </c>
      <c r="I162" s="17">
        <f>IF($H$2&gt;45000, D162*G162, IF($H$2&gt;15000, E162*G162, F162*G162)) </f>
      </c>
      <c r="J162" s="15" t="s">
        <v>38</v>
      </c>
      <c r="K162" t="s">
        <v>524</v>
      </c>
    </row>
    <row r="163" outlineLevel="1">
      <c r="A163" s="15" t="s">
        <v>525</v>
      </c>
      <c r="B163" s="15" t="s">
        <v>526</v>
      </c>
      <c r="C163" s="15" t="s">
        <v>38</v>
      </c>
      <c r="D163" s="16">
        <v>70</v>
      </c>
      <c r="E163" s="16">
        <v>77</v>
      </c>
      <c r="F163" s="16">
        <v>84</v>
      </c>
      <c r="G163" s="17">
        <v>0</v>
      </c>
      <c r="H163" s="15">
        <f>G163*F163</f>
      </c>
      <c r="I163" s="17">
        <f>IF($H$2&gt;45000, D163*G163, IF($H$2&gt;15000, E163*G163, F163*G163)) </f>
      </c>
      <c r="J163" s="15" t="s">
        <v>38</v>
      </c>
      <c r="K163" t="s">
        <v>527</v>
      </c>
    </row>
    <row r="164" outlineLevel="1">
      <c r="A164" s="15" t="s">
        <v>528</v>
      </c>
      <c r="B164" s="15" t="s">
        <v>529</v>
      </c>
      <c r="C164" s="15" t="s">
        <v>38</v>
      </c>
      <c r="D164" s="16">
        <v>71</v>
      </c>
      <c r="E164" s="16">
        <v>77</v>
      </c>
      <c r="F164" s="16">
        <v>85</v>
      </c>
      <c r="G164" s="17">
        <v>0</v>
      </c>
      <c r="H164" s="15">
        <f>G164*F164</f>
      </c>
      <c r="I164" s="17">
        <f>IF($H$2&gt;45000, D164*G164, IF($H$2&gt;15000, E164*G164, F164*G164)) </f>
      </c>
      <c r="J164" s="15" t="s">
        <v>38</v>
      </c>
      <c r="K164" t="s">
        <v>530</v>
      </c>
    </row>
    <row r="165" outlineLevel="1">
      <c r="A165" s="15" t="s">
        <v>531</v>
      </c>
      <c r="B165" s="15" t="s">
        <v>532</v>
      </c>
      <c r="C165" s="15" t="s">
        <v>38</v>
      </c>
      <c r="D165" s="16">
        <v>70</v>
      </c>
      <c r="E165" s="16">
        <v>77</v>
      </c>
      <c r="F165" s="16">
        <v>84</v>
      </c>
      <c r="G165" s="17">
        <v>0</v>
      </c>
      <c r="H165" s="15">
        <f>G165*F165</f>
      </c>
      <c r="I165" s="17">
        <f>IF($H$2&gt;45000, D165*G165, IF($H$2&gt;15000, E165*G165, F165*G165)) </f>
      </c>
      <c r="J165" s="15" t="s">
        <v>38</v>
      </c>
      <c r="K165" t="s">
        <v>533</v>
      </c>
    </row>
    <row r="166" outlineLevel="1">
      <c r="A166" s="15" t="s">
        <v>534</v>
      </c>
      <c r="B166" s="15" t="s">
        <v>535</v>
      </c>
      <c r="C166" s="15" t="s">
        <v>38</v>
      </c>
      <c r="D166" s="16">
        <v>63</v>
      </c>
      <c r="E166" s="16">
        <v>69</v>
      </c>
      <c r="F166" s="16">
        <v>76</v>
      </c>
      <c r="G166" s="17">
        <v>0</v>
      </c>
      <c r="H166" s="15">
        <f>G166*F166</f>
      </c>
      <c r="I166" s="17">
        <f>IF($H$2&gt;45000, D166*G166, IF($H$2&gt;15000, E166*G166, F166*G166)) </f>
      </c>
      <c r="J166" s="15" t="s">
        <v>38</v>
      </c>
      <c r="K166" t="s">
        <v>536</v>
      </c>
    </row>
    <row r="167" outlineLevel="1">
      <c r="A167" s="15" t="s">
        <v>537</v>
      </c>
      <c r="B167" s="15" t="s">
        <v>538</v>
      </c>
      <c r="C167" s="15" t="s">
        <v>38</v>
      </c>
      <c r="D167" s="16">
        <v>63</v>
      </c>
      <c r="E167" s="16">
        <v>69</v>
      </c>
      <c r="F167" s="16">
        <v>76</v>
      </c>
      <c r="G167" s="17">
        <v>0</v>
      </c>
      <c r="H167" s="15">
        <f>G167*F167</f>
      </c>
      <c r="I167" s="17">
        <f>IF($H$2&gt;45000, D167*G167, IF($H$2&gt;15000, E167*G167, F167*G167)) </f>
      </c>
      <c r="J167" s="15" t="s">
        <v>38</v>
      </c>
      <c r="K167" t="s">
        <v>539</v>
      </c>
    </row>
    <row r="168" outlineLevel="1">
      <c r="A168" s="15" t="s">
        <v>540</v>
      </c>
      <c r="B168" s="15" t="s">
        <v>541</v>
      </c>
      <c r="C168" s="15" t="s">
        <v>38</v>
      </c>
      <c r="D168" s="16">
        <v>63</v>
      </c>
      <c r="E168" s="16">
        <v>69</v>
      </c>
      <c r="F168" s="16">
        <v>76</v>
      </c>
      <c r="G168" s="17">
        <v>0</v>
      </c>
      <c r="H168" s="15">
        <f>G168*F168</f>
      </c>
      <c r="I168" s="17">
        <f>IF($H$2&gt;45000, D168*G168, IF($H$2&gt;15000, E168*G168, F168*G168)) </f>
      </c>
      <c r="J168" s="15" t="s">
        <v>38</v>
      </c>
      <c r="K168" t="s">
        <v>542</v>
      </c>
    </row>
    <row r="169" outlineLevel="1">
      <c r="A169" s="15" t="s">
        <v>543</v>
      </c>
      <c r="B169" s="15" t="s">
        <v>544</v>
      </c>
      <c r="C169" s="15" t="s">
        <v>38</v>
      </c>
      <c r="D169" s="16">
        <v>63</v>
      </c>
      <c r="E169" s="16">
        <v>69</v>
      </c>
      <c r="F169" s="16">
        <v>76</v>
      </c>
      <c r="G169" s="17">
        <v>0</v>
      </c>
      <c r="H169" s="15">
        <f>G169*F169</f>
      </c>
      <c r="I169" s="17">
        <f>IF($H$2&gt;45000, D169*G169, IF($H$2&gt;15000, E169*G169, F169*G169)) </f>
      </c>
      <c r="J169" s="15" t="s">
        <v>38</v>
      </c>
      <c r="K169" t="s">
        <v>545</v>
      </c>
    </row>
    <row r="170" outlineLevel="1">
      <c r="A170" s="15" t="s">
        <v>546</v>
      </c>
      <c r="B170" s="15" t="s">
        <v>547</v>
      </c>
      <c r="C170" s="15" t="s">
        <v>38</v>
      </c>
      <c r="D170" s="16">
        <v>63</v>
      </c>
      <c r="E170" s="16">
        <v>69</v>
      </c>
      <c r="F170" s="16">
        <v>76</v>
      </c>
      <c r="G170" s="17">
        <v>0</v>
      </c>
      <c r="H170" s="15">
        <f>G170*F170</f>
      </c>
      <c r="I170" s="17">
        <f>IF($H$2&gt;45000, D170*G170, IF($H$2&gt;15000, E170*G170, F170*G170)) </f>
      </c>
      <c r="J170" s="15" t="s">
        <v>38</v>
      </c>
      <c r="K170" t="s">
        <v>548</v>
      </c>
    </row>
    <row r="171" outlineLevel="1">
      <c r="A171" s="15" t="s">
        <v>549</v>
      </c>
      <c r="B171" s="15" t="s">
        <v>550</v>
      </c>
      <c r="C171" s="15" t="s">
        <v>38</v>
      </c>
      <c r="D171" s="16">
        <v>63</v>
      </c>
      <c r="E171" s="16">
        <v>69</v>
      </c>
      <c r="F171" s="16">
        <v>76</v>
      </c>
      <c r="G171" s="17">
        <v>0</v>
      </c>
      <c r="H171" s="15">
        <f>G171*F171</f>
      </c>
      <c r="I171" s="17">
        <f>IF($H$2&gt;45000, D171*G171, IF($H$2&gt;15000, E171*G171, F171*G171)) </f>
      </c>
      <c r="J171" s="15" t="s">
        <v>38</v>
      </c>
      <c r="K171" t="s">
        <v>551</v>
      </c>
    </row>
    <row r="172" outlineLevel="1">
      <c r="A172" s="15" t="s">
        <v>552</v>
      </c>
      <c r="B172" s="15" t="s">
        <v>553</v>
      </c>
      <c r="C172" s="15" t="s">
        <v>38</v>
      </c>
      <c r="D172" s="16">
        <v>63</v>
      </c>
      <c r="E172" s="16">
        <v>69</v>
      </c>
      <c r="F172" s="16">
        <v>76</v>
      </c>
      <c r="G172" s="17">
        <v>0</v>
      </c>
      <c r="H172" s="15">
        <f>G172*F172</f>
      </c>
      <c r="I172" s="17">
        <f>IF($H$2&gt;45000, D172*G172, IF($H$2&gt;15000, E172*G172, F172*G172)) </f>
      </c>
      <c r="J172" s="15" t="s">
        <v>38</v>
      </c>
      <c r="K172" t="s">
        <v>554</v>
      </c>
    </row>
    <row r="173" outlineLevel="1">
      <c r="A173" s="15" t="s">
        <v>555</v>
      </c>
      <c r="B173" s="15" t="s">
        <v>556</v>
      </c>
      <c r="C173" s="15" t="s">
        <v>38</v>
      </c>
      <c r="D173" s="16">
        <v>72</v>
      </c>
      <c r="E173" s="16">
        <v>79</v>
      </c>
      <c r="F173" s="16">
        <v>86</v>
      </c>
      <c r="G173" s="17">
        <v>0</v>
      </c>
      <c r="H173" s="15">
        <f>G173*F173</f>
      </c>
      <c r="I173" s="17">
        <f>IF($H$2&gt;45000, D173*G173, IF($H$2&gt;15000, E173*G173, F173*G173)) </f>
      </c>
      <c r="J173" s="15" t="s">
        <v>38</v>
      </c>
      <c r="K173" t="s">
        <v>557</v>
      </c>
    </row>
    <row r="174" outlineLevel="1">
      <c r="A174" s="15" t="s">
        <v>558</v>
      </c>
      <c r="B174" s="15" t="s">
        <v>559</v>
      </c>
      <c r="C174" s="15" t="s">
        <v>38</v>
      </c>
      <c r="D174" s="16">
        <v>70</v>
      </c>
      <c r="E174" s="16">
        <v>76</v>
      </c>
      <c r="F174" s="16">
        <v>84</v>
      </c>
      <c r="G174" s="17">
        <v>0</v>
      </c>
      <c r="H174" s="15">
        <f>G174*F174</f>
      </c>
      <c r="I174" s="17">
        <f>IF($H$2&gt;45000, D174*G174, IF($H$2&gt;15000, E174*G174, F174*G174)) </f>
      </c>
      <c r="J174" s="15" t="s">
        <v>38</v>
      </c>
      <c r="K174" t="s">
        <v>560</v>
      </c>
    </row>
    <row r="175" outlineLevel="1">
      <c r="A175" s="15" t="s">
        <v>561</v>
      </c>
      <c r="B175" s="15" t="s">
        <v>562</v>
      </c>
      <c r="C175" s="15" t="s">
        <v>38</v>
      </c>
      <c r="D175" s="16">
        <v>79</v>
      </c>
      <c r="E175" s="16">
        <v>86</v>
      </c>
      <c r="F175" s="16">
        <v>95</v>
      </c>
      <c r="G175" s="17">
        <v>0</v>
      </c>
      <c r="H175" s="15">
        <f>G175*F175</f>
      </c>
      <c r="I175" s="17">
        <f>IF($H$2&gt;45000, D175*G175, IF($H$2&gt;15000, E175*G175, F175*G175)) </f>
      </c>
      <c r="J175" s="15" t="s">
        <v>38</v>
      </c>
      <c r="K175" t="s">
        <v>563</v>
      </c>
    </row>
    <row r="176" outlineLevel="1">
      <c r="A176" s="15" t="s">
        <v>564</v>
      </c>
      <c r="B176" s="15" t="s">
        <v>565</v>
      </c>
      <c r="C176" s="15" t="s">
        <v>38</v>
      </c>
      <c r="D176" s="16">
        <v>81</v>
      </c>
      <c r="E176" s="16">
        <v>89</v>
      </c>
      <c r="F176" s="16">
        <v>97</v>
      </c>
      <c r="G176" s="17">
        <v>0</v>
      </c>
      <c r="H176" s="15">
        <f>G176*F176</f>
      </c>
      <c r="I176" s="17">
        <f>IF($H$2&gt;45000, D176*G176, IF($H$2&gt;15000, E176*G176, F176*G176)) </f>
      </c>
      <c r="J176" s="15" t="s">
        <v>38</v>
      </c>
      <c r="K176" t="s">
        <v>566</v>
      </c>
    </row>
    <row r="177" outlineLevel="1">
      <c r="A177" s="15" t="s">
        <v>567</v>
      </c>
      <c r="B177" s="15" t="s">
        <v>568</v>
      </c>
      <c r="C177" s="15" t="s">
        <v>38</v>
      </c>
      <c r="D177" s="16">
        <v>63</v>
      </c>
      <c r="E177" s="16">
        <v>69</v>
      </c>
      <c r="F177" s="16">
        <v>76</v>
      </c>
      <c r="G177" s="17">
        <v>0</v>
      </c>
      <c r="H177" s="15">
        <f>G177*F177</f>
      </c>
      <c r="I177" s="17">
        <f>IF($H$2&gt;45000, D177*G177, IF($H$2&gt;15000, E177*G177, F177*G177)) </f>
      </c>
      <c r="J177" s="15" t="s">
        <v>38</v>
      </c>
      <c r="K177" t="s">
        <v>569</v>
      </c>
    </row>
    <row r="178" outlineLevel="1">
      <c r="A178" s="15" t="s">
        <v>570</v>
      </c>
      <c r="B178" s="15" t="s">
        <v>571</v>
      </c>
      <c r="C178" s="15" t="s">
        <v>38</v>
      </c>
      <c r="D178" s="16">
        <v>68</v>
      </c>
      <c r="E178" s="16">
        <v>74</v>
      </c>
      <c r="F178" s="16">
        <v>82</v>
      </c>
      <c r="G178" s="17">
        <v>0</v>
      </c>
      <c r="H178" s="15">
        <f>G178*F178</f>
      </c>
      <c r="I178" s="17">
        <f>IF($H$2&gt;45000, D178*G178, IF($H$2&gt;15000, E178*G178, F178*G178)) </f>
      </c>
      <c r="J178" s="15" t="s">
        <v>38</v>
      </c>
      <c r="K178" t="s">
        <v>572</v>
      </c>
    </row>
    <row r="179" outlineLevel="1">
      <c r="A179" s="15" t="s">
        <v>573</v>
      </c>
      <c r="B179" s="15" t="s">
        <v>574</v>
      </c>
      <c r="C179" s="15" t="s">
        <v>38</v>
      </c>
      <c r="D179" s="16">
        <v>70</v>
      </c>
      <c r="E179" s="16">
        <v>77</v>
      </c>
      <c r="F179" s="16">
        <v>84</v>
      </c>
      <c r="G179" s="17">
        <v>0</v>
      </c>
      <c r="H179" s="15">
        <f>G179*F179</f>
      </c>
      <c r="I179" s="17">
        <f>IF($H$2&gt;45000, D179*G179, IF($H$2&gt;15000, E179*G179, F179*G179)) </f>
      </c>
      <c r="J179" s="15" t="s">
        <v>38</v>
      </c>
      <c r="K179" t="s">
        <v>575</v>
      </c>
    </row>
    <row r="180" outlineLevel="1">
      <c r="A180" s="15" t="s">
        <v>576</v>
      </c>
      <c r="B180" s="15" t="s">
        <v>577</v>
      </c>
      <c r="C180" s="15" t="s">
        <v>38</v>
      </c>
      <c r="D180" s="16">
        <v>63</v>
      </c>
      <c r="E180" s="16">
        <v>69</v>
      </c>
      <c r="F180" s="16">
        <v>76</v>
      </c>
      <c r="G180" s="17">
        <v>0</v>
      </c>
      <c r="H180" s="15">
        <f>G180*F180</f>
      </c>
      <c r="I180" s="17">
        <f>IF($H$2&gt;45000, D180*G180, IF($H$2&gt;15000, E180*G180, F180*G180)) </f>
      </c>
      <c r="J180" s="15" t="s">
        <v>38</v>
      </c>
      <c r="K180" t="s">
        <v>578</v>
      </c>
    </row>
    <row r="181" outlineLevel="1">
      <c r="A181" s="15" t="s">
        <v>579</v>
      </c>
      <c r="B181" s="15" t="s">
        <v>580</v>
      </c>
      <c r="C181" s="15" t="s">
        <v>38</v>
      </c>
      <c r="D181" s="16">
        <v>63</v>
      </c>
      <c r="E181" s="16">
        <v>69</v>
      </c>
      <c r="F181" s="16">
        <v>76</v>
      </c>
      <c r="G181" s="17">
        <v>0</v>
      </c>
      <c r="H181" s="15">
        <f>G181*F181</f>
      </c>
      <c r="I181" s="17">
        <f>IF($H$2&gt;45000, D181*G181, IF($H$2&gt;15000, E181*G181, F181*G181)) </f>
      </c>
      <c r="J181" s="15" t="s">
        <v>38</v>
      </c>
      <c r="K181" t="s">
        <v>581</v>
      </c>
    </row>
    <row r="182" outlineLevel="1">
      <c r="A182" s="15" t="s">
        <v>582</v>
      </c>
      <c r="B182" s="15" t="s">
        <v>583</v>
      </c>
      <c r="C182" s="15" t="s">
        <v>38</v>
      </c>
      <c r="D182" s="16">
        <v>70</v>
      </c>
      <c r="E182" s="16">
        <v>76</v>
      </c>
      <c r="F182" s="16">
        <v>84</v>
      </c>
      <c r="G182" s="17">
        <v>0</v>
      </c>
      <c r="H182" s="15">
        <f>G182*F182</f>
      </c>
      <c r="I182" s="17">
        <f>IF($H$2&gt;45000, D182*G182, IF($H$2&gt;15000, E182*G182, F182*G182)) </f>
      </c>
      <c r="J182" s="15" t="s">
        <v>38</v>
      </c>
      <c r="K182" t="s">
        <v>584</v>
      </c>
    </row>
    <row r="183" outlineLevel="1">
      <c r="A183" s="15" t="s">
        <v>585</v>
      </c>
      <c r="B183" s="15" t="s">
        <v>586</v>
      </c>
      <c r="C183" s="15" t="s">
        <v>38</v>
      </c>
      <c r="D183" s="16">
        <v>63</v>
      </c>
      <c r="E183" s="16">
        <v>69</v>
      </c>
      <c r="F183" s="16">
        <v>76</v>
      </c>
      <c r="G183" s="17">
        <v>0</v>
      </c>
      <c r="H183" s="15">
        <f>G183*F183</f>
      </c>
      <c r="I183" s="17">
        <f>IF($H$2&gt;45000, D183*G183, IF($H$2&gt;15000, E183*G183, F183*G183)) </f>
      </c>
      <c r="J183" s="15" t="s">
        <v>38</v>
      </c>
      <c r="K183" t="s">
        <v>587</v>
      </c>
    </row>
    <row r="184" outlineLevel="1">
      <c r="A184" s="15" t="s">
        <v>588</v>
      </c>
      <c r="B184" s="15" t="s">
        <v>589</v>
      </c>
      <c r="C184" s="15" t="s">
        <v>38</v>
      </c>
      <c r="D184" s="16">
        <v>72</v>
      </c>
      <c r="E184" s="16">
        <v>79</v>
      </c>
      <c r="F184" s="16">
        <v>86</v>
      </c>
      <c r="G184" s="17">
        <v>0</v>
      </c>
      <c r="H184" s="15">
        <f>G184*F184</f>
      </c>
      <c r="I184" s="17">
        <f>IF($H$2&gt;45000, D184*G184, IF($H$2&gt;15000, E184*G184, F184*G184)) </f>
      </c>
      <c r="J184" s="15" t="s">
        <v>38</v>
      </c>
      <c r="K184" t="s">
        <v>590</v>
      </c>
    </row>
    <row r="185" outlineLevel="1">
      <c r="A185" s="15" t="s">
        <v>591</v>
      </c>
      <c r="B185" s="15" t="s">
        <v>592</v>
      </c>
      <c r="C185" s="15" t="s">
        <v>38</v>
      </c>
      <c r="D185" s="16">
        <v>76</v>
      </c>
      <c r="E185" s="16">
        <v>83</v>
      </c>
      <c r="F185" s="16">
        <v>91</v>
      </c>
      <c r="G185" s="17">
        <v>0</v>
      </c>
      <c r="H185" s="15">
        <f>G185*F185</f>
      </c>
      <c r="I185" s="17">
        <f>IF($H$2&gt;45000, D185*G185, IF($H$2&gt;15000, E185*G185, F185*G185)) </f>
      </c>
      <c r="J185" s="15" t="s">
        <v>38</v>
      </c>
      <c r="K185" t="s">
        <v>593</v>
      </c>
    </row>
    <row r="186" outlineLevel="1">
      <c r="A186" s="15" t="s">
        <v>594</v>
      </c>
      <c r="B186" s="15" t="s">
        <v>595</v>
      </c>
      <c r="C186" s="15" t="s">
        <v>38</v>
      </c>
      <c r="D186" s="16">
        <v>70</v>
      </c>
      <c r="E186" s="16">
        <v>77</v>
      </c>
      <c r="F186" s="16">
        <v>84</v>
      </c>
      <c r="G186" s="17">
        <v>0</v>
      </c>
      <c r="H186" s="15">
        <f>G186*F186</f>
      </c>
      <c r="I186" s="17">
        <f>IF($H$2&gt;45000, D186*G186, IF($H$2&gt;15000, E186*G186, F186*G186)) </f>
      </c>
      <c r="J186" s="15" t="s">
        <v>38</v>
      </c>
      <c r="K186" t="s">
        <v>596</v>
      </c>
    </row>
    <row r="187" outlineLevel="1">
      <c r="A187" s="15" t="s">
        <v>597</v>
      </c>
      <c r="B187" s="15" t="s">
        <v>598</v>
      </c>
      <c r="C187" s="15" t="s">
        <v>38</v>
      </c>
      <c r="D187" s="16">
        <v>79</v>
      </c>
      <c r="E187" s="16">
        <v>86</v>
      </c>
      <c r="F187" s="16">
        <v>95</v>
      </c>
      <c r="G187" s="17">
        <v>0</v>
      </c>
      <c r="H187" s="15">
        <f>G187*F187</f>
      </c>
      <c r="I187" s="17">
        <f>IF($H$2&gt;45000, D187*G187, IF($H$2&gt;15000, E187*G187, F187*G187)) </f>
      </c>
      <c r="J187" s="15" t="s">
        <v>38</v>
      </c>
      <c r="K187" t="s">
        <v>599</v>
      </c>
    </row>
    <row r="188" outlineLevel="1">
      <c r="A188" s="15" t="s">
        <v>600</v>
      </c>
      <c r="B188" s="15" t="s">
        <v>601</v>
      </c>
      <c r="C188" s="15" t="s">
        <v>38</v>
      </c>
      <c r="D188" s="16">
        <v>63</v>
      </c>
      <c r="E188" s="16">
        <v>69</v>
      </c>
      <c r="F188" s="16">
        <v>76</v>
      </c>
      <c r="G188" s="17">
        <v>0</v>
      </c>
      <c r="H188" s="15">
        <f>G188*F188</f>
      </c>
      <c r="I188" s="17">
        <f>IF($H$2&gt;45000, D188*G188, IF($H$2&gt;15000, E188*G188, F188*G188)) </f>
      </c>
      <c r="J188" s="15" t="s">
        <v>38</v>
      </c>
      <c r="K188" t="s">
        <v>602</v>
      </c>
    </row>
    <row r="189" outlineLevel="1">
      <c r="A189" s="15" t="s">
        <v>603</v>
      </c>
      <c r="B189" s="15" t="s">
        <v>604</v>
      </c>
      <c r="C189" s="15" t="s">
        <v>38</v>
      </c>
      <c r="D189" s="16">
        <v>69</v>
      </c>
      <c r="E189" s="16">
        <v>76</v>
      </c>
      <c r="F189" s="16">
        <v>83</v>
      </c>
      <c r="G189" s="17">
        <v>0</v>
      </c>
      <c r="H189" s="15">
        <f>G189*F189</f>
      </c>
      <c r="I189" s="17">
        <f>IF($H$2&gt;45000, D189*G189, IF($H$2&gt;15000, E189*G189, F189*G189)) </f>
      </c>
      <c r="J189" s="15" t="s">
        <v>38</v>
      </c>
      <c r="K189" t="s">
        <v>605</v>
      </c>
    </row>
    <row r="190" outlineLevel="1">
      <c r="A190" s="15" t="s">
        <v>606</v>
      </c>
      <c r="B190" s="15" t="s">
        <v>607</v>
      </c>
      <c r="C190" s="15" t="s">
        <v>38</v>
      </c>
      <c r="D190" s="16">
        <v>63</v>
      </c>
      <c r="E190" s="16">
        <v>69</v>
      </c>
      <c r="F190" s="16">
        <v>76</v>
      </c>
      <c r="G190" s="17">
        <v>0</v>
      </c>
      <c r="H190" s="15">
        <f>G190*F190</f>
      </c>
      <c r="I190" s="17">
        <f>IF($H$2&gt;45000, D190*G190, IF($H$2&gt;15000, E190*G190, F190*G190)) </f>
      </c>
      <c r="J190" s="15" t="s">
        <v>38</v>
      </c>
      <c r="K190" t="s">
        <v>608</v>
      </c>
    </row>
    <row r="191" outlineLevel="1">
      <c r="A191" s="15" t="s">
        <v>609</v>
      </c>
      <c r="B191" s="15" t="s">
        <v>610</v>
      </c>
      <c r="C191" s="15" t="s">
        <v>38</v>
      </c>
      <c r="D191" s="16">
        <v>63</v>
      </c>
      <c r="E191" s="16">
        <v>69</v>
      </c>
      <c r="F191" s="16">
        <v>76</v>
      </c>
      <c r="G191" s="17">
        <v>0</v>
      </c>
      <c r="H191" s="15">
        <f>G191*F191</f>
      </c>
      <c r="I191" s="17">
        <f>IF($H$2&gt;45000, D191*G191, IF($H$2&gt;15000, E191*G191, F191*G191)) </f>
      </c>
      <c r="J191" s="15" t="s">
        <v>38</v>
      </c>
      <c r="K191" t="s">
        <v>611</v>
      </c>
    </row>
    <row r="192" outlineLevel="1">
      <c r="A192" s="15" t="s">
        <v>612</v>
      </c>
      <c r="B192" s="15" t="s">
        <v>613</v>
      </c>
      <c r="C192" s="15" t="s">
        <v>38</v>
      </c>
      <c r="D192" s="16">
        <v>72</v>
      </c>
      <c r="E192" s="16">
        <v>79</v>
      </c>
      <c r="F192" s="16">
        <v>86</v>
      </c>
      <c r="G192" s="17">
        <v>0</v>
      </c>
      <c r="H192" s="15">
        <f>G192*F192</f>
      </c>
      <c r="I192" s="17">
        <f>IF($H$2&gt;45000, D192*G192, IF($H$2&gt;15000, E192*G192, F192*G192)) </f>
      </c>
      <c r="J192" s="15" t="s">
        <v>38</v>
      </c>
      <c r="K192" t="s">
        <v>614</v>
      </c>
    </row>
    <row r="193" outlineLevel="1">
      <c r="A193" s="15" t="s">
        <v>615</v>
      </c>
      <c r="B193" s="15" t="s">
        <v>616</v>
      </c>
      <c r="C193" s="15" t="s">
        <v>38</v>
      </c>
      <c r="D193" s="16">
        <v>63</v>
      </c>
      <c r="E193" s="16">
        <v>69</v>
      </c>
      <c r="F193" s="16">
        <v>76</v>
      </c>
      <c r="G193" s="17">
        <v>0</v>
      </c>
      <c r="H193" s="15">
        <f>G193*F193</f>
      </c>
      <c r="I193" s="17">
        <f>IF($H$2&gt;45000, D193*G193, IF($H$2&gt;15000, E193*G193, F193*G193)) </f>
      </c>
      <c r="J193" s="15" t="s">
        <v>38</v>
      </c>
      <c r="K193" t="s">
        <v>617</v>
      </c>
    </row>
    <row r="194" outlineLevel="1">
      <c r="A194" s="15" t="s">
        <v>618</v>
      </c>
      <c r="B194" s="15" t="s">
        <v>619</v>
      </c>
      <c r="C194" s="15" t="s">
        <v>38</v>
      </c>
      <c r="D194" s="16">
        <v>77</v>
      </c>
      <c r="E194" s="16">
        <v>84</v>
      </c>
      <c r="F194" s="16">
        <v>92</v>
      </c>
      <c r="G194" s="17">
        <v>0</v>
      </c>
      <c r="H194" s="15">
        <f>G194*F194</f>
      </c>
      <c r="I194" s="17">
        <f>IF($H$2&gt;45000, D194*G194, IF($H$2&gt;15000, E194*G194, F194*G194)) </f>
      </c>
      <c r="J194" s="15" t="s">
        <v>38</v>
      </c>
      <c r="K194" t="s">
        <v>620</v>
      </c>
    </row>
    <row r="195" outlineLevel="1">
      <c r="A195" s="15" t="s">
        <v>621</v>
      </c>
      <c r="B195" s="15" t="s">
        <v>622</v>
      </c>
      <c r="C195" s="15" t="s">
        <v>38</v>
      </c>
      <c r="D195" s="16">
        <v>63</v>
      </c>
      <c r="E195" s="16">
        <v>69</v>
      </c>
      <c r="F195" s="16">
        <v>76</v>
      </c>
      <c r="G195" s="17">
        <v>0</v>
      </c>
      <c r="H195" s="15">
        <f>G195*F195</f>
      </c>
      <c r="I195" s="17">
        <f>IF($H$2&gt;45000, D195*G195, IF($H$2&gt;15000, E195*G195, F195*G195)) </f>
      </c>
      <c r="J195" s="15" t="s">
        <v>38</v>
      </c>
      <c r="K195" t="s">
        <v>623</v>
      </c>
    </row>
    <row r="196" outlineLevel="1">
      <c r="A196" s="15" t="s">
        <v>624</v>
      </c>
      <c r="B196" s="15" t="s">
        <v>625</v>
      </c>
      <c r="C196" s="15" t="s">
        <v>38</v>
      </c>
      <c r="D196" s="16">
        <v>63</v>
      </c>
      <c r="E196" s="16">
        <v>69</v>
      </c>
      <c r="F196" s="16">
        <v>76</v>
      </c>
      <c r="G196" s="17">
        <v>0</v>
      </c>
      <c r="H196" s="15">
        <f>G196*F196</f>
      </c>
      <c r="I196" s="17">
        <f>IF($H$2&gt;45000, D196*G196, IF($H$2&gt;15000, E196*G196, F196*G196)) </f>
      </c>
      <c r="J196" s="15" t="s">
        <v>38</v>
      </c>
      <c r="K196" t="s">
        <v>626</v>
      </c>
    </row>
    <row r="197" outlineLevel="1">
      <c r="A197" s="15" t="s">
        <v>627</v>
      </c>
      <c r="B197" s="15" t="s">
        <v>628</v>
      </c>
      <c r="C197" s="15" t="s">
        <v>38</v>
      </c>
      <c r="D197" s="16">
        <v>63</v>
      </c>
      <c r="E197" s="16">
        <v>69</v>
      </c>
      <c r="F197" s="16">
        <v>76</v>
      </c>
      <c r="G197" s="17">
        <v>0</v>
      </c>
      <c r="H197" s="15">
        <f>G197*F197</f>
      </c>
      <c r="I197" s="17">
        <f>IF($H$2&gt;45000, D197*G197, IF($H$2&gt;15000, E197*G197, F197*G197)) </f>
      </c>
      <c r="J197" s="15" t="s">
        <v>38</v>
      </c>
      <c r="K197" t="s">
        <v>629</v>
      </c>
    </row>
    <row r="198" outlineLevel="1">
      <c r="A198" s="15" t="s">
        <v>630</v>
      </c>
      <c r="B198" s="15" t="s">
        <v>631</v>
      </c>
      <c r="C198" s="15" t="s">
        <v>38</v>
      </c>
      <c r="D198" s="16">
        <v>63</v>
      </c>
      <c r="E198" s="16">
        <v>69</v>
      </c>
      <c r="F198" s="16">
        <v>76</v>
      </c>
      <c r="G198" s="17">
        <v>0</v>
      </c>
      <c r="H198" s="15">
        <f>G198*F198</f>
      </c>
      <c r="I198" s="17">
        <f>IF($H$2&gt;45000, D198*G198, IF($H$2&gt;15000, E198*G198, F198*G198)) </f>
      </c>
      <c r="J198" s="15" t="s">
        <v>38</v>
      </c>
      <c r="K198" t="s">
        <v>632</v>
      </c>
    </row>
    <row r="199" outlineLevel="1">
      <c r="A199" s="15" t="s">
        <v>633</v>
      </c>
      <c r="B199" s="15" t="s">
        <v>634</v>
      </c>
      <c r="C199" s="15" t="s">
        <v>38</v>
      </c>
      <c r="D199" s="16">
        <v>70</v>
      </c>
      <c r="E199" s="16">
        <v>76</v>
      </c>
      <c r="F199" s="16">
        <v>84</v>
      </c>
      <c r="G199" s="17">
        <v>0</v>
      </c>
      <c r="H199" s="15">
        <f>G199*F199</f>
      </c>
      <c r="I199" s="17">
        <f>IF($H$2&gt;45000, D199*G199, IF($H$2&gt;15000, E199*G199, F199*G199)) </f>
      </c>
      <c r="J199" s="15" t="s">
        <v>38</v>
      </c>
      <c r="K199" t="s">
        <v>635</v>
      </c>
    </row>
    <row r="200" outlineLevel="1">
      <c r="A200" s="15" t="s">
        <v>636</v>
      </c>
      <c r="B200" s="15" t="s">
        <v>637</v>
      </c>
      <c r="C200" s="15" t="s">
        <v>38</v>
      </c>
      <c r="D200" s="16">
        <v>63</v>
      </c>
      <c r="E200" s="16">
        <v>69</v>
      </c>
      <c r="F200" s="16">
        <v>76</v>
      </c>
      <c r="G200" s="17">
        <v>0</v>
      </c>
      <c r="H200" s="15">
        <f>G200*F200</f>
      </c>
      <c r="I200" s="17">
        <f>IF($H$2&gt;45000, D200*G200, IF($H$2&gt;15000, E200*G200, F200*G200)) </f>
      </c>
      <c r="J200" s="15" t="s">
        <v>38</v>
      </c>
      <c r="K200" t="s">
        <v>638</v>
      </c>
    </row>
    <row r="201" outlineLevel="1">
      <c r="A201" s="15" t="s">
        <v>639</v>
      </c>
      <c r="B201" s="15" t="s">
        <v>640</v>
      </c>
      <c r="C201" s="15" t="s">
        <v>38</v>
      </c>
      <c r="D201" s="16">
        <v>63</v>
      </c>
      <c r="E201" s="16">
        <v>69</v>
      </c>
      <c r="F201" s="16">
        <v>76</v>
      </c>
      <c r="G201" s="17">
        <v>0</v>
      </c>
      <c r="H201" s="15">
        <f>G201*F201</f>
      </c>
      <c r="I201" s="17">
        <f>IF($H$2&gt;45000, D201*G201, IF($H$2&gt;15000, E201*G201, F201*G201)) </f>
      </c>
      <c r="J201" s="15" t="s">
        <v>38</v>
      </c>
      <c r="K201" t="s">
        <v>641</v>
      </c>
    </row>
    <row r="202" outlineLevel="1">
      <c r="A202" s="15" t="s">
        <v>642</v>
      </c>
      <c r="B202" s="15" t="s">
        <v>643</v>
      </c>
      <c r="C202" s="15" t="s">
        <v>38</v>
      </c>
      <c r="D202" s="16">
        <v>63</v>
      </c>
      <c r="E202" s="16">
        <v>69</v>
      </c>
      <c r="F202" s="16">
        <v>76</v>
      </c>
      <c r="G202" s="17">
        <v>0</v>
      </c>
      <c r="H202" s="15">
        <f>G202*F202</f>
      </c>
      <c r="I202" s="17">
        <f>IF($H$2&gt;45000, D202*G202, IF($H$2&gt;15000, E202*G202, F202*G202)) </f>
      </c>
      <c r="J202" s="15" t="s">
        <v>38</v>
      </c>
      <c r="K202" t="s">
        <v>644</v>
      </c>
    </row>
    <row r="203" outlineLevel="1">
      <c r="A203" s="15" t="s">
        <v>645</v>
      </c>
      <c r="B203" s="15" t="s">
        <v>646</v>
      </c>
      <c r="C203" s="15" t="s">
        <v>38</v>
      </c>
      <c r="D203" s="16">
        <v>63</v>
      </c>
      <c r="E203" s="16">
        <v>69</v>
      </c>
      <c r="F203" s="16">
        <v>76</v>
      </c>
      <c r="G203" s="17">
        <v>0</v>
      </c>
      <c r="H203" s="15">
        <f>G203*F203</f>
      </c>
      <c r="I203" s="17">
        <f>IF($H$2&gt;45000, D203*G203, IF($H$2&gt;15000, E203*G203, F203*G203)) </f>
      </c>
      <c r="J203" s="15" t="s">
        <v>38</v>
      </c>
      <c r="K203" t="s">
        <v>647</v>
      </c>
    </row>
    <row r="204" outlineLevel="1">
      <c r="A204" s="15" t="s">
        <v>648</v>
      </c>
      <c r="B204" s="15" t="s">
        <v>649</v>
      </c>
      <c r="C204" s="15" t="s">
        <v>38</v>
      </c>
      <c r="D204" s="16">
        <v>72</v>
      </c>
      <c r="E204" s="16">
        <v>79</v>
      </c>
      <c r="F204" s="16">
        <v>86</v>
      </c>
      <c r="G204" s="17">
        <v>0</v>
      </c>
      <c r="H204" s="15">
        <f>G204*F204</f>
      </c>
      <c r="I204" s="17">
        <f>IF($H$2&gt;45000, D204*G204, IF($H$2&gt;15000, E204*G204, F204*G204)) </f>
      </c>
      <c r="J204" s="15" t="s">
        <v>38</v>
      </c>
      <c r="K204" t="s">
        <v>650</v>
      </c>
    </row>
    <row r="205" outlineLevel="1">
      <c r="A205" s="15" t="s">
        <v>651</v>
      </c>
      <c r="B205" s="15" t="s">
        <v>652</v>
      </c>
      <c r="C205" s="15" t="s">
        <v>38</v>
      </c>
      <c r="D205" s="16">
        <v>63</v>
      </c>
      <c r="E205" s="16">
        <v>69</v>
      </c>
      <c r="F205" s="16">
        <v>76</v>
      </c>
      <c r="G205" s="17">
        <v>0</v>
      </c>
      <c r="H205" s="15">
        <f>G205*F205</f>
      </c>
      <c r="I205" s="17">
        <f>IF($H$2&gt;45000, D205*G205, IF($H$2&gt;15000, E205*G205, F205*G205)) </f>
      </c>
      <c r="J205" s="15" t="s">
        <v>38</v>
      </c>
      <c r="K205" t="s">
        <v>653</v>
      </c>
    </row>
    <row r="206" outlineLevel="1">
      <c r="A206" s="15" t="s">
        <v>654</v>
      </c>
      <c r="B206" s="15" t="s">
        <v>655</v>
      </c>
      <c r="C206" s="15" t="s">
        <v>38</v>
      </c>
      <c r="D206" s="16">
        <v>71</v>
      </c>
      <c r="E206" s="16">
        <v>77</v>
      </c>
      <c r="F206" s="16">
        <v>85</v>
      </c>
      <c r="G206" s="17">
        <v>0</v>
      </c>
      <c r="H206" s="15">
        <f>G206*F206</f>
      </c>
      <c r="I206" s="17">
        <f>IF($H$2&gt;45000, D206*G206, IF($H$2&gt;15000, E206*G206, F206*G206)) </f>
      </c>
      <c r="J206" s="15" t="s">
        <v>38</v>
      </c>
      <c r="K206" t="s">
        <v>656</v>
      </c>
    </row>
    <row r="207" outlineLevel="1">
      <c r="A207" s="15" t="s">
        <v>657</v>
      </c>
      <c r="B207" s="15" t="s">
        <v>658</v>
      </c>
      <c r="C207" s="15" t="s">
        <v>38</v>
      </c>
      <c r="D207" s="16">
        <v>72</v>
      </c>
      <c r="E207" s="16">
        <v>79</v>
      </c>
      <c r="F207" s="16">
        <v>86</v>
      </c>
      <c r="G207" s="17">
        <v>0</v>
      </c>
      <c r="H207" s="15">
        <f>G207*F207</f>
      </c>
      <c r="I207" s="17">
        <f>IF($H$2&gt;45000, D207*G207, IF($H$2&gt;15000, E207*G207, F207*G207)) </f>
      </c>
      <c r="J207" s="15" t="s">
        <v>38</v>
      </c>
      <c r="K207" t="s">
        <v>659</v>
      </c>
    </row>
    <row r="208" outlineLevel="1">
      <c r="A208" s="15" t="s">
        <v>660</v>
      </c>
      <c r="B208" s="15" t="s">
        <v>661</v>
      </c>
      <c r="C208" s="15" t="s">
        <v>38</v>
      </c>
      <c r="D208" s="16">
        <v>79</v>
      </c>
      <c r="E208" s="16">
        <v>86</v>
      </c>
      <c r="F208" s="16">
        <v>94</v>
      </c>
      <c r="G208" s="17">
        <v>0</v>
      </c>
      <c r="H208" s="15">
        <f>G208*F208</f>
      </c>
      <c r="I208" s="17">
        <f>IF($H$2&gt;45000, D208*G208, IF($H$2&gt;15000, E208*G208, F208*G208)) </f>
      </c>
      <c r="J208" s="15" t="s">
        <v>38</v>
      </c>
      <c r="K208" t="s">
        <v>662</v>
      </c>
    </row>
    <row r="209" outlineLevel="1">
      <c r="A209" s="15" t="s">
        <v>663</v>
      </c>
      <c r="B209" s="15" t="s">
        <v>664</v>
      </c>
      <c r="C209" s="15" t="s">
        <v>38</v>
      </c>
      <c r="D209" s="16">
        <v>79</v>
      </c>
      <c r="E209" s="16">
        <v>86</v>
      </c>
      <c r="F209" s="16">
        <v>94</v>
      </c>
      <c r="G209" s="17">
        <v>0</v>
      </c>
      <c r="H209" s="15">
        <f>G209*F209</f>
      </c>
      <c r="I209" s="17">
        <f>IF($H$2&gt;45000, D209*G209, IF($H$2&gt;15000, E209*G209, F209*G209)) </f>
      </c>
      <c r="J209" s="15" t="s">
        <v>38</v>
      </c>
      <c r="K209" t="s">
        <v>665</v>
      </c>
    </row>
    <row r="210" outlineLevel="1">
      <c r="A210" s="15" t="s">
        <v>666</v>
      </c>
      <c r="B210" s="15" t="s">
        <v>667</v>
      </c>
      <c r="C210" s="15" t="s">
        <v>38</v>
      </c>
      <c r="D210" s="16">
        <v>70</v>
      </c>
      <c r="E210" s="16">
        <v>77</v>
      </c>
      <c r="F210" s="16">
        <v>84</v>
      </c>
      <c r="G210" s="17">
        <v>0</v>
      </c>
      <c r="H210" s="15">
        <f>G210*F210</f>
      </c>
      <c r="I210" s="17">
        <f>IF($H$2&gt;45000, D210*G210, IF($H$2&gt;15000, E210*G210, F210*G210)) </f>
      </c>
      <c r="J210" s="15" t="s">
        <v>38</v>
      </c>
      <c r="K210" t="s">
        <v>668</v>
      </c>
    </row>
    <row r="211" outlineLevel="1">
      <c r="A211" s="15" t="s">
        <v>669</v>
      </c>
      <c r="B211" s="15" t="s">
        <v>670</v>
      </c>
      <c r="C211" s="15" t="s">
        <v>38</v>
      </c>
      <c r="D211" s="16">
        <v>70</v>
      </c>
      <c r="E211" s="16">
        <v>77</v>
      </c>
      <c r="F211" s="16">
        <v>84</v>
      </c>
      <c r="G211" s="17">
        <v>0</v>
      </c>
      <c r="H211" s="15">
        <f>G211*F211</f>
      </c>
      <c r="I211" s="17">
        <f>IF($H$2&gt;45000, D211*G211, IF($H$2&gt;15000, E211*G211, F211*G211)) </f>
      </c>
      <c r="J211" s="15" t="s">
        <v>38</v>
      </c>
      <c r="K211" t="s">
        <v>671</v>
      </c>
    </row>
    <row r="212" outlineLevel="1">
      <c r="A212" s="15" t="s">
        <v>672</v>
      </c>
      <c r="B212" s="15" t="s">
        <v>673</v>
      </c>
      <c r="C212" s="15" t="s">
        <v>38</v>
      </c>
      <c r="D212" s="16">
        <v>63</v>
      </c>
      <c r="E212" s="16">
        <v>69</v>
      </c>
      <c r="F212" s="16">
        <v>76</v>
      </c>
      <c r="G212" s="17">
        <v>0</v>
      </c>
      <c r="H212" s="15">
        <f>G212*F212</f>
      </c>
      <c r="I212" s="17">
        <f>IF($H$2&gt;45000, D212*G212, IF($H$2&gt;15000, E212*G212, F212*G212)) </f>
      </c>
      <c r="J212" s="15" t="s">
        <v>38</v>
      </c>
      <c r="K212" t="s">
        <v>674</v>
      </c>
    </row>
    <row r="213" outlineLevel="1">
      <c r="A213" s="15" t="s">
        <v>675</v>
      </c>
      <c r="B213" s="15" t="s">
        <v>676</v>
      </c>
      <c r="C213" s="15" t="s">
        <v>38</v>
      </c>
      <c r="D213" s="16">
        <v>63</v>
      </c>
      <c r="E213" s="16">
        <v>69</v>
      </c>
      <c r="F213" s="16">
        <v>76</v>
      </c>
      <c r="G213" s="17">
        <v>0</v>
      </c>
      <c r="H213" s="15">
        <f>G213*F213</f>
      </c>
      <c r="I213" s="17">
        <f>IF($H$2&gt;45000, D213*G213, IF($H$2&gt;15000, E213*G213, F213*G213)) </f>
      </c>
      <c r="J213" s="15" t="s">
        <v>38</v>
      </c>
      <c r="K213" t="s">
        <v>677</v>
      </c>
    </row>
    <row r="214" outlineLevel="1">
      <c r="A214" s="15" t="s">
        <v>678</v>
      </c>
      <c r="B214" s="15" t="s">
        <v>679</v>
      </c>
      <c r="C214" s="15" t="s">
        <v>38</v>
      </c>
      <c r="D214" s="16">
        <v>68</v>
      </c>
      <c r="E214" s="16">
        <v>74</v>
      </c>
      <c r="F214" s="16">
        <v>81</v>
      </c>
      <c r="G214" s="17">
        <v>0</v>
      </c>
      <c r="H214" s="15">
        <f>G214*F214</f>
      </c>
      <c r="I214" s="17">
        <f>IF($H$2&gt;45000, D214*G214, IF($H$2&gt;15000, E214*G214, F214*G214)) </f>
      </c>
      <c r="J214" s="15" t="s">
        <v>38</v>
      </c>
      <c r="K214" t="s">
        <v>680</v>
      </c>
    </row>
    <row r="215" outlineLevel="1">
      <c r="A215" s="15" t="s">
        <v>681</v>
      </c>
      <c r="B215" s="15" t="s">
        <v>682</v>
      </c>
      <c r="C215" s="15" t="s">
        <v>38</v>
      </c>
      <c r="D215" s="16">
        <v>63</v>
      </c>
      <c r="E215" s="16">
        <v>69</v>
      </c>
      <c r="F215" s="16">
        <v>76</v>
      </c>
      <c r="G215" s="17">
        <v>0</v>
      </c>
      <c r="H215" s="15">
        <f>G215*F215</f>
      </c>
      <c r="I215" s="17">
        <f>IF($H$2&gt;45000, D215*G215, IF($H$2&gt;15000, E215*G215, F215*G215)) </f>
      </c>
      <c r="J215" s="15" t="s">
        <v>38</v>
      </c>
      <c r="K215" t="s">
        <v>683</v>
      </c>
    </row>
    <row r="216" outlineLevel="1">
      <c r="A216" s="15" t="s">
        <v>684</v>
      </c>
      <c r="B216" s="15" t="s">
        <v>685</v>
      </c>
      <c r="C216" s="15" t="s">
        <v>38</v>
      </c>
      <c r="D216" s="16">
        <v>68</v>
      </c>
      <c r="E216" s="16">
        <v>75</v>
      </c>
      <c r="F216" s="16">
        <v>82</v>
      </c>
      <c r="G216" s="17">
        <v>0</v>
      </c>
      <c r="H216" s="15">
        <f>G216*F216</f>
      </c>
      <c r="I216" s="17">
        <f>IF($H$2&gt;45000, D216*G216, IF($H$2&gt;15000, E216*G216, F216*G216)) </f>
      </c>
      <c r="J216" s="15" t="s">
        <v>38</v>
      </c>
      <c r="K216" t="s">
        <v>686</v>
      </c>
    </row>
    <row r="217" outlineLevel="1">
      <c r="A217" s="15" t="s">
        <v>687</v>
      </c>
      <c r="B217" s="15" t="s">
        <v>688</v>
      </c>
      <c r="C217" s="15" t="s">
        <v>38</v>
      </c>
      <c r="D217" s="16">
        <v>63</v>
      </c>
      <c r="E217" s="16">
        <v>69</v>
      </c>
      <c r="F217" s="16">
        <v>76</v>
      </c>
      <c r="G217" s="17">
        <v>0</v>
      </c>
      <c r="H217" s="15">
        <f>G217*F217</f>
      </c>
      <c r="I217" s="17">
        <f>IF($H$2&gt;45000, D217*G217, IF($H$2&gt;15000, E217*G217, F217*G217)) </f>
      </c>
      <c r="J217" s="15" t="s">
        <v>38</v>
      </c>
      <c r="K217" t="s">
        <v>689</v>
      </c>
    </row>
    <row r="218" outlineLevel="1">
      <c r="A218" s="15" t="s">
        <v>690</v>
      </c>
      <c r="B218" s="15" t="s">
        <v>691</v>
      </c>
      <c r="C218" s="15" t="s">
        <v>38</v>
      </c>
      <c r="D218" s="16">
        <v>70</v>
      </c>
      <c r="E218" s="16">
        <v>76</v>
      </c>
      <c r="F218" s="16">
        <v>83</v>
      </c>
      <c r="G218" s="17">
        <v>0</v>
      </c>
      <c r="H218" s="15">
        <f>G218*F218</f>
      </c>
      <c r="I218" s="17">
        <f>IF($H$2&gt;45000, D218*G218, IF($H$2&gt;15000, E218*G218, F218*G218)) </f>
      </c>
      <c r="J218" s="15" t="s">
        <v>38</v>
      </c>
      <c r="K218" t="s">
        <v>692</v>
      </c>
    </row>
    <row r="219" outlineLevel="1">
      <c r="A219" s="15" t="s">
        <v>693</v>
      </c>
      <c r="B219" s="15" t="s">
        <v>694</v>
      </c>
      <c r="C219" s="15" t="s">
        <v>38</v>
      </c>
      <c r="D219" s="16">
        <v>63</v>
      </c>
      <c r="E219" s="16">
        <v>69</v>
      </c>
      <c r="F219" s="16">
        <v>76</v>
      </c>
      <c r="G219" s="17">
        <v>0</v>
      </c>
      <c r="H219" s="15">
        <f>G219*F219</f>
      </c>
      <c r="I219" s="17">
        <f>IF($H$2&gt;45000, D219*G219, IF($H$2&gt;15000, E219*G219, F219*G219)) </f>
      </c>
      <c r="J219" s="15" t="s">
        <v>38</v>
      </c>
      <c r="K219" t="s">
        <v>695</v>
      </c>
    </row>
    <row r="220">
      <c r="A220" s="18" t="s">
        <v>696</v>
      </c>
    </row>
    <row r="221" outlineLevel="1">
      <c r="A221" s="15" t="s">
        <v>697</v>
      </c>
      <c r="B221" s="15" t="s">
        <v>698</v>
      </c>
      <c r="C221" s="15" t="s">
        <v>38</v>
      </c>
      <c r="D221" s="16">
        <v>83</v>
      </c>
      <c r="E221" s="16">
        <v>89</v>
      </c>
      <c r="F221" s="16">
        <v>96</v>
      </c>
      <c r="G221" s="17">
        <v>0</v>
      </c>
      <c r="H221" s="15">
        <f>G221*F221</f>
      </c>
      <c r="I221" s="17">
        <f>IF($H$2&gt;45000, D221*G221, IF($H$2&gt;15000, E221*G221, F221*G221)) </f>
      </c>
      <c r="J221" s="15" t="s">
        <v>38</v>
      </c>
      <c r="K221" t="s">
        <v>699</v>
      </c>
    </row>
    <row r="222" outlineLevel="1">
      <c r="A222" s="15" t="s">
        <v>700</v>
      </c>
      <c r="B222" s="15" t="s">
        <v>701</v>
      </c>
      <c r="C222" s="15" t="s">
        <v>38</v>
      </c>
      <c r="D222" s="16">
        <v>90</v>
      </c>
      <c r="E222" s="16">
        <v>97</v>
      </c>
      <c r="F222" s="16">
        <v>104</v>
      </c>
      <c r="G222" s="17">
        <v>0</v>
      </c>
      <c r="H222" s="15">
        <f>G222*F222</f>
      </c>
      <c r="I222" s="17">
        <f>IF($H$2&gt;45000, D222*G222, IF($H$2&gt;15000, E222*G222, F222*G222)) </f>
      </c>
      <c r="J222" s="15" t="s">
        <v>38</v>
      </c>
      <c r="K222" t="s">
        <v>702</v>
      </c>
    </row>
    <row r="223" outlineLevel="1">
      <c r="A223" s="15" t="s">
        <v>703</v>
      </c>
      <c r="B223" s="15" t="s">
        <v>704</v>
      </c>
      <c r="C223" s="15" t="s">
        <v>38</v>
      </c>
      <c r="D223" s="16">
        <v>83</v>
      </c>
      <c r="E223" s="16">
        <v>89</v>
      </c>
      <c r="F223" s="16">
        <v>96</v>
      </c>
      <c r="G223" s="17">
        <v>0</v>
      </c>
      <c r="H223" s="15">
        <f>G223*F223</f>
      </c>
      <c r="I223" s="17">
        <f>IF($H$2&gt;45000, D223*G223, IF($H$2&gt;15000, E223*G223, F223*G223)) </f>
      </c>
      <c r="J223" s="15" t="s">
        <v>38</v>
      </c>
      <c r="K223" t="s">
        <v>705</v>
      </c>
    </row>
    <row r="224" outlineLevel="1">
      <c r="A224" s="15" t="s">
        <v>706</v>
      </c>
      <c r="B224" s="15" t="s">
        <v>707</v>
      </c>
      <c r="C224" s="15" t="s">
        <v>38</v>
      </c>
      <c r="D224" s="16">
        <v>83</v>
      </c>
      <c r="E224" s="16">
        <v>89</v>
      </c>
      <c r="F224" s="16">
        <v>96</v>
      </c>
      <c r="G224" s="17">
        <v>0</v>
      </c>
      <c r="H224" s="15">
        <f>G224*F224</f>
      </c>
      <c r="I224" s="17">
        <f>IF($H$2&gt;45000, D224*G224, IF($H$2&gt;15000, E224*G224, F224*G224)) </f>
      </c>
      <c r="J224" s="15" t="s">
        <v>38</v>
      </c>
      <c r="K224" t="s">
        <v>708</v>
      </c>
    </row>
    <row r="225" outlineLevel="1">
      <c r="A225" s="15" t="s">
        <v>709</v>
      </c>
      <c r="B225" s="15" t="s">
        <v>710</v>
      </c>
      <c r="C225" s="15" t="s">
        <v>38</v>
      </c>
      <c r="D225" s="16">
        <v>83</v>
      </c>
      <c r="E225" s="16">
        <v>89</v>
      </c>
      <c r="F225" s="16">
        <v>96</v>
      </c>
      <c r="G225" s="17">
        <v>0</v>
      </c>
      <c r="H225" s="15">
        <f>G225*F225</f>
      </c>
      <c r="I225" s="17">
        <f>IF($H$2&gt;45000, D225*G225, IF($H$2&gt;15000, E225*G225, F225*G225)) </f>
      </c>
      <c r="J225" s="15" t="s">
        <v>38</v>
      </c>
      <c r="K225" t="s">
        <v>711</v>
      </c>
    </row>
    <row r="226" outlineLevel="1">
      <c r="A226" s="15" t="s">
        <v>712</v>
      </c>
      <c r="B226" s="15" t="s">
        <v>713</v>
      </c>
      <c r="C226" s="15" t="s">
        <v>38</v>
      </c>
      <c r="D226" s="16">
        <v>83</v>
      </c>
      <c r="E226" s="16">
        <v>89</v>
      </c>
      <c r="F226" s="16">
        <v>96</v>
      </c>
      <c r="G226" s="17">
        <v>0</v>
      </c>
      <c r="H226" s="15">
        <f>G226*F226</f>
      </c>
      <c r="I226" s="17">
        <f>IF($H$2&gt;45000, D226*G226, IF($H$2&gt;15000, E226*G226, F226*G226)) </f>
      </c>
      <c r="J226" s="15" t="s">
        <v>38</v>
      </c>
      <c r="K226" t="s">
        <v>714</v>
      </c>
    </row>
    <row r="227" outlineLevel="1">
      <c r="A227" s="15" t="s">
        <v>715</v>
      </c>
      <c r="B227" s="15" t="s">
        <v>716</v>
      </c>
      <c r="C227" s="15" t="s">
        <v>38</v>
      </c>
      <c r="D227" s="16">
        <v>83</v>
      </c>
      <c r="E227" s="16">
        <v>89</v>
      </c>
      <c r="F227" s="16">
        <v>96</v>
      </c>
      <c r="G227" s="17">
        <v>0</v>
      </c>
      <c r="H227" s="15">
        <f>G227*F227</f>
      </c>
      <c r="I227" s="17">
        <f>IF($H$2&gt;45000, D227*G227, IF($H$2&gt;15000, E227*G227, F227*G227)) </f>
      </c>
      <c r="J227" s="15" t="s">
        <v>38</v>
      </c>
      <c r="K227" t="s">
        <v>717</v>
      </c>
    </row>
    <row r="228" outlineLevel="1">
      <c r="A228" s="15" t="s">
        <v>718</v>
      </c>
      <c r="B228" s="15" t="s">
        <v>719</v>
      </c>
      <c r="C228" s="15" t="s">
        <v>38</v>
      </c>
      <c r="D228" s="16">
        <v>83</v>
      </c>
      <c r="E228" s="16">
        <v>89</v>
      </c>
      <c r="F228" s="16">
        <v>96</v>
      </c>
      <c r="G228" s="17">
        <v>0</v>
      </c>
      <c r="H228" s="15">
        <f>G228*F228</f>
      </c>
      <c r="I228" s="17">
        <f>IF($H$2&gt;45000, D228*G228, IF($H$2&gt;15000, E228*G228, F228*G228)) </f>
      </c>
      <c r="J228" s="15" t="s">
        <v>38</v>
      </c>
      <c r="K228" t="s">
        <v>720</v>
      </c>
    </row>
    <row r="229" outlineLevel="1">
      <c r="A229" s="15" t="s">
        <v>721</v>
      </c>
      <c r="B229" s="15" t="s">
        <v>722</v>
      </c>
      <c r="C229" s="15" t="s">
        <v>38</v>
      </c>
      <c r="D229" s="16">
        <v>83</v>
      </c>
      <c r="E229" s="16">
        <v>89</v>
      </c>
      <c r="F229" s="16">
        <v>96</v>
      </c>
      <c r="G229" s="17">
        <v>0</v>
      </c>
      <c r="H229" s="15">
        <f>G229*F229</f>
      </c>
      <c r="I229" s="17">
        <f>IF($H$2&gt;45000, D229*G229, IF($H$2&gt;15000, E229*G229, F229*G229)) </f>
      </c>
      <c r="J229" s="15" t="s">
        <v>38</v>
      </c>
      <c r="K229" t="s">
        <v>723</v>
      </c>
    </row>
    <row r="230" outlineLevel="1">
      <c r="A230" s="15" t="s">
        <v>724</v>
      </c>
      <c r="B230" s="15" t="s">
        <v>725</v>
      </c>
      <c r="C230" s="15" t="s">
        <v>38</v>
      </c>
      <c r="D230" s="16">
        <v>83</v>
      </c>
      <c r="E230" s="16">
        <v>89</v>
      </c>
      <c r="F230" s="16">
        <v>96</v>
      </c>
      <c r="G230" s="17">
        <v>0</v>
      </c>
      <c r="H230" s="15">
        <f>G230*F230</f>
      </c>
      <c r="I230" s="17">
        <f>IF($H$2&gt;45000, D230*G230, IF($H$2&gt;15000, E230*G230, F230*G230)) </f>
      </c>
      <c r="J230" s="15" t="s">
        <v>38</v>
      </c>
      <c r="K230" t="s">
        <v>726</v>
      </c>
    </row>
    <row r="231" outlineLevel="1">
      <c r="A231" s="15" t="s">
        <v>727</v>
      </c>
      <c r="B231" s="15" t="s">
        <v>728</v>
      </c>
      <c r="C231" s="15" t="s">
        <v>38</v>
      </c>
      <c r="D231" s="16">
        <v>83</v>
      </c>
      <c r="E231" s="16">
        <v>89</v>
      </c>
      <c r="F231" s="16">
        <v>96</v>
      </c>
      <c r="G231" s="17">
        <v>0</v>
      </c>
      <c r="H231" s="15">
        <f>G231*F231</f>
      </c>
      <c r="I231" s="17">
        <f>IF($H$2&gt;45000, D231*G231, IF($H$2&gt;15000, E231*G231, F231*G231)) </f>
      </c>
      <c r="J231" s="15" t="s">
        <v>38</v>
      </c>
      <c r="K231" t="s">
        <v>729</v>
      </c>
    </row>
    <row r="232" outlineLevel="1">
      <c r="A232" s="15" t="s">
        <v>730</v>
      </c>
      <c r="B232" s="15" t="s">
        <v>731</v>
      </c>
      <c r="C232" s="15" t="s">
        <v>38</v>
      </c>
      <c r="D232" s="16">
        <v>90</v>
      </c>
      <c r="E232" s="16">
        <v>97</v>
      </c>
      <c r="F232" s="16">
        <v>104</v>
      </c>
      <c r="G232" s="17">
        <v>0</v>
      </c>
      <c r="H232" s="15">
        <f>G232*F232</f>
      </c>
      <c r="I232" s="17">
        <f>IF($H$2&gt;45000, D232*G232, IF($H$2&gt;15000, E232*G232, F232*G232)) </f>
      </c>
      <c r="J232" s="15" t="s">
        <v>38</v>
      </c>
      <c r="K232" t="s">
        <v>732</v>
      </c>
    </row>
    <row r="233" outlineLevel="1">
      <c r="A233" s="15" t="s">
        <v>733</v>
      </c>
      <c r="B233" s="15" t="s">
        <v>734</v>
      </c>
      <c r="C233" s="15" t="s">
        <v>38</v>
      </c>
      <c r="D233" s="16">
        <v>90</v>
      </c>
      <c r="E233" s="16">
        <v>97</v>
      </c>
      <c r="F233" s="16">
        <v>104</v>
      </c>
      <c r="G233" s="17">
        <v>0</v>
      </c>
      <c r="H233" s="15">
        <f>G233*F233</f>
      </c>
      <c r="I233" s="17">
        <f>IF($H$2&gt;45000, D233*G233, IF($H$2&gt;15000, E233*G233, F233*G233)) </f>
      </c>
      <c r="J233" s="15" t="s">
        <v>38</v>
      </c>
      <c r="K233" t="s">
        <v>735</v>
      </c>
    </row>
    <row r="234" outlineLevel="1">
      <c r="A234" s="15" t="s">
        <v>736</v>
      </c>
      <c r="B234" s="15" t="s">
        <v>737</v>
      </c>
      <c r="C234" s="15" t="s">
        <v>38</v>
      </c>
      <c r="D234" s="16">
        <v>83</v>
      </c>
      <c r="E234" s="16">
        <v>89</v>
      </c>
      <c r="F234" s="16">
        <v>96</v>
      </c>
      <c r="G234" s="17">
        <v>0</v>
      </c>
      <c r="H234" s="15">
        <f>G234*F234</f>
      </c>
      <c r="I234" s="17">
        <f>IF($H$2&gt;45000, D234*G234, IF($H$2&gt;15000, E234*G234, F234*G234)) </f>
      </c>
      <c r="J234" s="15" t="s">
        <v>38</v>
      </c>
      <c r="K234" t="s">
        <v>738</v>
      </c>
    </row>
    <row r="235" outlineLevel="1">
      <c r="A235" s="15" t="s">
        <v>739</v>
      </c>
      <c r="B235" s="15" t="s">
        <v>740</v>
      </c>
      <c r="C235" s="15" t="s">
        <v>38</v>
      </c>
      <c r="D235" s="16">
        <v>83</v>
      </c>
      <c r="E235" s="16">
        <v>89</v>
      </c>
      <c r="F235" s="16">
        <v>96</v>
      </c>
      <c r="G235" s="17">
        <v>0</v>
      </c>
      <c r="H235" s="15">
        <f>G235*F235</f>
      </c>
      <c r="I235" s="17">
        <f>IF($H$2&gt;45000, D235*G235, IF($H$2&gt;15000, E235*G235, F235*G235)) </f>
      </c>
      <c r="J235" s="15" t="s">
        <v>38</v>
      </c>
      <c r="K235" t="s">
        <v>741</v>
      </c>
    </row>
    <row r="236" outlineLevel="1">
      <c r="A236" s="15" t="s">
        <v>742</v>
      </c>
      <c r="B236" s="15" t="s">
        <v>743</v>
      </c>
      <c r="C236" s="15" t="s">
        <v>38</v>
      </c>
      <c r="D236" s="16">
        <v>83</v>
      </c>
      <c r="E236" s="16">
        <v>89</v>
      </c>
      <c r="F236" s="16">
        <v>96</v>
      </c>
      <c r="G236" s="17">
        <v>0</v>
      </c>
      <c r="H236" s="15">
        <f>G236*F236</f>
      </c>
      <c r="I236" s="17">
        <f>IF($H$2&gt;45000, D236*G236, IF($H$2&gt;15000, E236*G236, F236*G236)) </f>
      </c>
      <c r="J236" s="15" t="s">
        <v>38</v>
      </c>
      <c r="K236" t="s">
        <v>744</v>
      </c>
    </row>
    <row r="237" outlineLevel="1">
      <c r="A237" s="15" t="s">
        <v>745</v>
      </c>
      <c r="B237" s="15" t="s">
        <v>746</v>
      </c>
      <c r="C237" s="15" t="s">
        <v>38</v>
      </c>
      <c r="D237" s="16">
        <v>83</v>
      </c>
      <c r="E237" s="16">
        <v>89</v>
      </c>
      <c r="F237" s="16">
        <v>96</v>
      </c>
      <c r="G237" s="17">
        <v>0</v>
      </c>
      <c r="H237" s="15">
        <f>G237*F237</f>
      </c>
      <c r="I237" s="17">
        <f>IF($H$2&gt;45000, D237*G237, IF($H$2&gt;15000, E237*G237, F237*G237)) </f>
      </c>
      <c r="J237" s="15" t="s">
        <v>38</v>
      </c>
      <c r="K237" t="s">
        <v>747</v>
      </c>
    </row>
    <row r="238" outlineLevel="1">
      <c r="A238" s="15" t="s">
        <v>748</v>
      </c>
      <c r="B238" s="15" t="s">
        <v>749</v>
      </c>
      <c r="C238" s="15" t="s">
        <v>38</v>
      </c>
      <c r="D238" s="16">
        <v>90</v>
      </c>
      <c r="E238" s="16">
        <v>97</v>
      </c>
      <c r="F238" s="16">
        <v>104</v>
      </c>
      <c r="G238" s="17">
        <v>0</v>
      </c>
      <c r="H238" s="15">
        <f>G238*F238</f>
      </c>
      <c r="I238" s="17">
        <f>IF($H$2&gt;45000, D238*G238, IF($H$2&gt;15000, E238*G238, F238*G238)) </f>
      </c>
      <c r="J238" s="15" t="s">
        <v>38</v>
      </c>
      <c r="K238" t="s">
        <v>750</v>
      </c>
    </row>
    <row r="239" outlineLevel="1">
      <c r="A239" s="15" t="s">
        <v>751</v>
      </c>
      <c r="B239" s="15" t="s">
        <v>752</v>
      </c>
      <c r="C239" s="15" t="s">
        <v>38</v>
      </c>
      <c r="D239" s="16">
        <v>83</v>
      </c>
      <c r="E239" s="16">
        <v>89</v>
      </c>
      <c r="F239" s="16">
        <v>96</v>
      </c>
      <c r="G239" s="17">
        <v>0</v>
      </c>
      <c r="H239" s="15">
        <f>G239*F239</f>
      </c>
      <c r="I239" s="17">
        <f>IF($H$2&gt;45000, D239*G239, IF($H$2&gt;15000, E239*G239, F239*G239)) </f>
      </c>
      <c r="J239" s="15" t="s">
        <v>38</v>
      </c>
      <c r="K239" t="s">
        <v>753</v>
      </c>
    </row>
    <row r="240" outlineLevel="1">
      <c r="A240" s="15" t="s">
        <v>754</v>
      </c>
      <c r="B240" s="15" t="s">
        <v>755</v>
      </c>
      <c r="C240" s="15" t="s">
        <v>38</v>
      </c>
      <c r="D240" s="16">
        <v>83</v>
      </c>
      <c r="E240" s="16">
        <v>89</v>
      </c>
      <c r="F240" s="16">
        <v>96</v>
      </c>
      <c r="G240" s="17">
        <v>0</v>
      </c>
      <c r="H240" s="15">
        <f>G240*F240</f>
      </c>
      <c r="I240" s="17">
        <f>IF($H$2&gt;45000, D240*G240, IF($H$2&gt;15000, E240*G240, F240*G240)) </f>
      </c>
      <c r="J240" s="15" t="s">
        <v>38</v>
      </c>
      <c r="K240" t="s">
        <v>756</v>
      </c>
    </row>
    <row r="241" outlineLevel="1">
      <c r="A241" s="15" t="s">
        <v>757</v>
      </c>
      <c r="B241" s="15" t="s">
        <v>758</v>
      </c>
      <c r="C241" s="15" t="s">
        <v>38</v>
      </c>
      <c r="D241" s="16">
        <v>83</v>
      </c>
      <c r="E241" s="16">
        <v>89</v>
      </c>
      <c r="F241" s="16">
        <v>96</v>
      </c>
      <c r="G241" s="17">
        <v>0</v>
      </c>
      <c r="H241" s="15">
        <f>G241*F241</f>
      </c>
      <c r="I241" s="17">
        <f>IF($H$2&gt;45000, D241*G241, IF($H$2&gt;15000, E241*G241, F241*G241)) </f>
      </c>
      <c r="J241" s="15" t="s">
        <v>38</v>
      </c>
      <c r="K241" t="s">
        <v>759</v>
      </c>
    </row>
    <row r="242" outlineLevel="1">
      <c r="A242" s="15" t="s">
        <v>760</v>
      </c>
      <c r="B242" s="15" t="s">
        <v>761</v>
      </c>
      <c r="C242" s="15" t="s">
        <v>38</v>
      </c>
      <c r="D242" s="16">
        <v>83</v>
      </c>
      <c r="E242" s="16">
        <v>89</v>
      </c>
      <c r="F242" s="16">
        <v>96</v>
      </c>
      <c r="G242" s="17">
        <v>0</v>
      </c>
      <c r="H242" s="15">
        <f>G242*F242</f>
      </c>
      <c r="I242" s="17">
        <f>IF($H$2&gt;45000, D242*G242, IF($H$2&gt;15000, E242*G242, F242*G242)) </f>
      </c>
      <c r="J242" s="15" t="s">
        <v>38</v>
      </c>
      <c r="K242" t="s">
        <v>762</v>
      </c>
    </row>
    <row r="243" outlineLevel="1">
      <c r="A243" s="15" t="s">
        <v>763</v>
      </c>
      <c r="B243" s="15" t="s">
        <v>764</v>
      </c>
      <c r="C243" s="15" t="s">
        <v>38</v>
      </c>
      <c r="D243" s="16">
        <v>83</v>
      </c>
      <c r="E243" s="16">
        <v>89</v>
      </c>
      <c r="F243" s="16">
        <v>96</v>
      </c>
      <c r="G243" s="17">
        <v>0</v>
      </c>
      <c r="H243" s="15">
        <f>G243*F243</f>
      </c>
      <c r="I243" s="17">
        <f>IF($H$2&gt;45000, D243*G243, IF($H$2&gt;15000, E243*G243, F243*G243)) </f>
      </c>
      <c r="J243" s="15" t="s">
        <v>38</v>
      </c>
      <c r="K243" t="s">
        <v>765</v>
      </c>
    </row>
    <row r="244" outlineLevel="1">
      <c r="A244" s="15" t="s">
        <v>766</v>
      </c>
      <c r="B244" s="15" t="s">
        <v>767</v>
      </c>
      <c r="C244" s="15" t="s">
        <v>38</v>
      </c>
      <c r="D244" s="16">
        <v>90</v>
      </c>
      <c r="E244" s="16">
        <v>97</v>
      </c>
      <c r="F244" s="16">
        <v>104</v>
      </c>
      <c r="G244" s="17">
        <v>0</v>
      </c>
      <c r="H244" s="15">
        <f>G244*F244</f>
      </c>
      <c r="I244" s="17">
        <f>IF($H$2&gt;45000, D244*G244, IF($H$2&gt;15000, E244*G244, F244*G244)) </f>
      </c>
      <c r="J244" s="15" t="s">
        <v>38</v>
      </c>
      <c r="K244" t="s">
        <v>768</v>
      </c>
    </row>
    <row r="245" outlineLevel="1">
      <c r="A245" s="15" t="s">
        <v>769</v>
      </c>
      <c r="B245" s="15" t="s">
        <v>770</v>
      </c>
      <c r="C245" s="15" t="s">
        <v>38</v>
      </c>
      <c r="D245" s="16">
        <v>90</v>
      </c>
      <c r="E245" s="16">
        <v>97</v>
      </c>
      <c r="F245" s="16">
        <v>104</v>
      </c>
      <c r="G245" s="17">
        <v>0</v>
      </c>
      <c r="H245" s="15">
        <f>G245*F245</f>
      </c>
      <c r="I245" s="17">
        <f>IF($H$2&gt;45000, D245*G245, IF($H$2&gt;15000, E245*G245, F245*G245)) </f>
      </c>
      <c r="J245" s="15" t="s">
        <v>38</v>
      </c>
      <c r="K245" t="s">
        <v>771</v>
      </c>
    </row>
    <row r="246" outlineLevel="1">
      <c r="A246" s="15" t="s">
        <v>772</v>
      </c>
      <c r="B246" s="15" t="s">
        <v>773</v>
      </c>
      <c r="C246" s="15" t="s">
        <v>38</v>
      </c>
      <c r="D246" s="16">
        <v>93</v>
      </c>
      <c r="E246" s="16">
        <v>99</v>
      </c>
      <c r="F246" s="16">
        <v>107</v>
      </c>
      <c r="G246" s="17">
        <v>0</v>
      </c>
      <c r="H246" s="15">
        <f>G246*F246</f>
      </c>
      <c r="I246" s="17">
        <f>IF($H$2&gt;45000, D246*G246, IF($H$2&gt;15000, E246*G246, F246*G246)) </f>
      </c>
      <c r="J246" s="15" t="s">
        <v>38</v>
      </c>
      <c r="K246" t="s">
        <v>774</v>
      </c>
    </row>
    <row r="247" outlineLevel="1">
      <c r="A247" s="15" t="s">
        <v>775</v>
      </c>
      <c r="B247" s="15" t="s">
        <v>776</v>
      </c>
      <c r="C247" s="15" t="s">
        <v>38</v>
      </c>
      <c r="D247" s="16">
        <v>93</v>
      </c>
      <c r="E247" s="16">
        <v>99</v>
      </c>
      <c r="F247" s="16">
        <v>107</v>
      </c>
      <c r="G247" s="17">
        <v>0</v>
      </c>
      <c r="H247" s="15">
        <f>G247*F247</f>
      </c>
      <c r="I247" s="17">
        <f>IF($H$2&gt;45000, D247*G247, IF($H$2&gt;15000, E247*G247, F247*G247)) </f>
      </c>
      <c r="J247" s="15" t="s">
        <v>38</v>
      </c>
      <c r="K247" t="s">
        <v>777</v>
      </c>
    </row>
    <row r="248" outlineLevel="1">
      <c r="A248" s="15" t="s">
        <v>778</v>
      </c>
      <c r="B248" s="15" t="s">
        <v>779</v>
      </c>
      <c r="C248" s="15" t="s">
        <v>38</v>
      </c>
      <c r="D248" s="16">
        <v>90</v>
      </c>
      <c r="E248" s="16">
        <v>97</v>
      </c>
      <c r="F248" s="16">
        <v>104</v>
      </c>
      <c r="G248" s="17">
        <v>0</v>
      </c>
      <c r="H248" s="15">
        <f>G248*F248</f>
      </c>
      <c r="I248" s="17">
        <f>IF($H$2&gt;45000, D248*G248, IF($H$2&gt;15000, E248*G248, F248*G248)) </f>
      </c>
      <c r="J248" s="15" t="s">
        <v>38</v>
      </c>
      <c r="K248" t="s">
        <v>780</v>
      </c>
    </row>
    <row r="249" outlineLevel="1">
      <c r="A249" s="15" t="s">
        <v>781</v>
      </c>
      <c r="B249" s="15" t="s">
        <v>782</v>
      </c>
      <c r="C249" s="15" t="s">
        <v>38</v>
      </c>
      <c r="D249" s="16">
        <v>90</v>
      </c>
      <c r="E249" s="16">
        <v>97</v>
      </c>
      <c r="F249" s="16">
        <v>104</v>
      </c>
      <c r="G249" s="17">
        <v>0</v>
      </c>
      <c r="H249" s="15">
        <f>G249*F249</f>
      </c>
      <c r="I249" s="17">
        <f>IF($H$2&gt;45000, D249*G249, IF($H$2&gt;15000, E249*G249, F249*G249)) </f>
      </c>
      <c r="J249" s="15" t="s">
        <v>38</v>
      </c>
      <c r="K249" t="s">
        <v>783</v>
      </c>
    </row>
    <row r="250" outlineLevel="1">
      <c r="A250" s="15" t="s">
        <v>784</v>
      </c>
      <c r="B250" s="15" t="s">
        <v>785</v>
      </c>
      <c r="C250" s="15" t="s">
        <v>38</v>
      </c>
      <c r="D250" s="16">
        <v>83</v>
      </c>
      <c r="E250" s="16">
        <v>89</v>
      </c>
      <c r="F250" s="16">
        <v>96</v>
      </c>
      <c r="G250" s="17">
        <v>0</v>
      </c>
      <c r="H250" s="15">
        <f>G250*F250</f>
      </c>
      <c r="I250" s="17">
        <f>IF($H$2&gt;45000, D250*G250, IF($H$2&gt;15000, E250*G250, F250*G250)) </f>
      </c>
      <c r="J250" s="15" t="s">
        <v>38</v>
      </c>
      <c r="K250" t="s">
        <v>786</v>
      </c>
    </row>
    <row r="251" outlineLevel="1">
      <c r="A251" s="15" t="s">
        <v>787</v>
      </c>
      <c r="B251" s="15" t="s">
        <v>788</v>
      </c>
      <c r="C251" s="15" t="s">
        <v>38</v>
      </c>
      <c r="D251" s="16">
        <v>83</v>
      </c>
      <c r="E251" s="16">
        <v>89</v>
      </c>
      <c r="F251" s="16">
        <v>96</v>
      </c>
      <c r="G251" s="17">
        <v>0</v>
      </c>
      <c r="H251" s="15">
        <f>G251*F251</f>
      </c>
      <c r="I251" s="17">
        <f>IF($H$2&gt;45000, D251*G251, IF($H$2&gt;15000, E251*G251, F251*G251)) </f>
      </c>
      <c r="J251" s="15" t="s">
        <v>38</v>
      </c>
      <c r="K251" t="s">
        <v>789</v>
      </c>
    </row>
    <row r="252" outlineLevel="1">
      <c r="A252" s="15" t="s">
        <v>790</v>
      </c>
      <c r="B252" s="15" t="s">
        <v>791</v>
      </c>
      <c r="C252" s="15" t="s">
        <v>38</v>
      </c>
      <c r="D252" s="16">
        <v>83</v>
      </c>
      <c r="E252" s="16">
        <v>89</v>
      </c>
      <c r="F252" s="16">
        <v>96</v>
      </c>
      <c r="G252" s="17">
        <v>0</v>
      </c>
      <c r="H252" s="15">
        <f>G252*F252</f>
      </c>
      <c r="I252" s="17">
        <f>IF($H$2&gt;45000, D252*G252, IF($H$2&gt;15000, E252*G252, F252*G252)) </f>
      </c>
      <c r="J252" s="15" t="s">
        <v>38</v>
      </c>
      <c r="K252" t="s">
        <v>792</v>
      </c>
    </row>
    <row r="253" outlineLevel="1">
      <c r="A253" s="15" t="s">
        <v>793</v>
      </c>
      <c r="B253" s="15" t="s">
        <v>794</v>
      </c>
      <c r="C253" s="15" t="s">
        <v>38</v>
      </c>
      <c r="D253" s="16">
        <v>83</v>
      </c>
      <c r="E253" s="16">
        <v>89</v>
      </c>
      <c r="F253" s="16">
        <v>96</v>
      </c>
      <c r="G253" s="17">
        <v>0</v>
      </c>
      <c r="H253" s="15">
        <f>G253*F253</f>
      </c>
      <c r="I253" s="17">
        <f>IF($H$2&gt;45000, D253*G253, IF($H$2&gt;15000, E253*G253, F253*G253)) </f>
      </c>
      <c r="J253" s="15" t="s">
        <v>38</v>
      </c>
      <c r="K253" t="s">
        <v>795</v>
      </c>
    </row>
    <row r="254" outlineLevel="1">
      <c r="A254" s="15" t="s">
        <v>796</v>
      </c>
      <c r="B254" s="15" t="s">
        <v>797</v>
      </c>
      <c r="C254" s="15" t="s">
        <v>38</v>
      </c>
      <c r="D254" s="16">
        <v>83</v>
      </c>
      <c r="E254" s="16">
        <v>89</v>
      </c>
      <c r="F254" s="16">
        <v>96</v>
      </c>
      <c r="G254" s="17">
        <v>0</v>
      </c>
      <c r="H254" s="15">
        <f>G254*F254</f>
      </c>
      <c r="I254" s="17">
        <f>IF($H$2&gt;45000, D254*G254, IF($H$2&gt;15000, E254*G254, F254*G254)) </f>
      </c>
      <c r="J254" s="15" t="s">
        <v>38</v>
      </c>
      <c r="K254" t="s">
        <v>798</v>
      </c>
    </row>
    <row r="255" outlineLevel="1">
      <c r="A255" s="15" t="s">
        <v>799</v>
      </c>
      <c r="B255" s="15" t="s">
        <v>800</v>
      </c>
      <c r="C255" s="15" t="s">
        <v>38</v>
      </c>
      <c r="D255" s="16">
        <v>90</v>
      </c>
      <c r="E255" s="16">
        <v>97</v>
      </c>
      <c r="F255" s="16">
        <v>104</v>
      </c>
      <c r="G255" s="17">
        <v>0</v>
      </c>
      <c r="H255" s="15">
        <f>G255*F255</f>
      </c>
      <c r="I255" s="17">
        <f>IF($H$2&gt;45000, D255*G255, IF($H$2&gt;15000, E255*G255, F255*G255)) </f>
      </c>
      <c r="J255" s="15" t="s">
        <v>38</v>
      </c>
      <c r="K255" t="s">
        <v>801</v>
      </c>
    </row>
    <row r="256" outlineLevel="1">
      <c r="A256" s="15" t="s">
        <v>802</v>
      </c>
      <c r="B256" s="15" t="s">
        <v>803</v>
      </c>
      <c r="C256" s="15" t="s">
        <v>38</v>
      </c>
      <c r="D256" s="16">
        <v>90</v>
      </c>
      <c r="E256" s="16">
        <v>97</v>
      </c>
      <c r="F256" s="16">
        <v>104</v>
      </c>
      <c r="G256" s="17">
        <v>0</v>
      </c>
      <c r="H256" s="15">
        <f>G256*F256</f>
      </c>
      <c r="I256" s="17">
        <f>IF($H$2&gt;45000, D256*G256, IF($H$2&gt;15000, E256*G256, F256*G256)) </f>
      </c>
      <c r="J256" s="15" t="s">
        <v>38</v>
      </c>
      <c r="K256" t="s">
        <v>804</v>
      </c>
    </row>
    <row r="257" outlineLevel="1">
      <c r="A257" s="15" t="s">
        <v>805</v>
      </c>
      <c r="B257" s="15" t="s">
        <v>806</v>
      </c>
      <c r="C257" s="15" t="s">
        <v>38</v>
      </c>
      <c r="D257" s="16">
        <v>83</v>
      </c>
      <c r="E257" s="16">
        <v>89</v>
      </c>
      <c r="F257" s="16">
        <v>96</v>
      </c>
      <c r="G257" s="17">
        <v>0</v>
      </c>
      <c r="H257" s="15">
        <f>G257*F257</f>
      </c>
      <c r="I257" s="17">
        <f>IF($H$2&gt;45000, D257*G257, IF($H$2&gt;15000, E257*G257, F257*G257)) </f>
      </c>
      <c r="J257" s="15" t="s">
        <v>38</v>
      </c>
      <c r="K257" t="s">
        <v>807</v>
      </c>
    </row>
    <row r="258" outlineLevel="1">
      <c r="A258" s="15" t="s">
        <v>808</v>
      </c>
      <c r="B258" s="15" t="s">
        <v>809</v>
      </c>
      <c r="C258" s="15" t="s">
        <v>38</v>
      </c>
      <c r="D258" s="16">
        <v>83</v>
      </c>
      <c r="E258" s="16">
        <v>89</v>
      </c>
      <c r="F258" s="16">
        <v>96</v>
      </c>
      <c r="G258" s="17">
        <v>0</v>
      </c>
      <c r="H258" s="15">
        <f>G258*F258</f>
      </c>
      <c r="I258" s="17">
        <f>IF($H$2&gt;45000, D258*G258, IF($H$2&gt;15000, E258*G258, F258*G258)) </f>
      </c>
      <c r="J258" s="15" t="s">
        <v>38</v>
      </c>
      <c r="K258" t="s">
        <v>810</v>
      </c>
    </row>
    <row r="259" outlineLevel="1">
      <c r="A259" s="15" t="s">
        <v>811</v>
      </c>
      <c r="B259" s="15" t="s">
        <v>812</v>
      </c>
      <c r="C259" s="15" t="s">
        <v>346</v>
      </c>
      <c r="D259" s="16">
        <v>83</v>
      </c>
      <c r="E259" s="16">
        <v>89</v>
      </c>
      <c r="F259" s="16">
        <v>96</v>
      </c>
      <c r="G259" s="17">
        <v>0</v>
      </c>
      <c r="H259" s="15">
        <f>G259*F259</f>
      </c>
      <c r="I259" s="17">
        <f>IF($H$2&gt;45000, D259*G259, IF($H$2&gt;15000, E259*G259, F259*G259)) </f>
      </c>
      <c r="J259" s="15" t="s">
        <v>38</v>
      </c>
      <c r="K259" t="s">
        <v>813</v>
      </c>
    </row>
    <row r="260" outlineLevel="1">
      <c r="A260" s="15" t="s">
        <v>814</v>
      </c>
      <c r="B260" s="15" t="s">
        <v>815</v>
      </c>
      <c r="C260" s="15" t="s">
        <v>38</v>
      </c>
      <c r="D260" s="16">
        <v>83</v>
      </c>
      <c r="E260" s="16">
        <v>89</v>
      </c>
      <c r="F260" s="16">
        <v>96</v>
      </c>
      <c r="G260" s="17">
        <v>0</v>
      </c>
      <c r="H260" s="15">
        <f>G260*F260</f>
      </c>
      <c r="I260" s="17">
        <f>IF($H$2&gt;45000, D260*G260, IF($H$2&gt;15000, E260*G260, F260*G260)) </f>
      </c>
      <c r="J260" s="15" t="s">
        <v>38</v>
      </c>
      <c r="K260" t="s">
        <v>816</v>
      </c>
    </row>
    <row r="261" outlineLevel="1">
      <c r="A261" s="15" t="s">
        <v>817</v>
      </c>
      <c r="B261" s="15" t="s">
        <v>818</v>
      </c>
      <c r="C261" s="15" t="s">
        <v>38</v>
      </c>
      <c r="D261" s="16">
        <v>83</v>
      </c>
      <c r="E261" s="16">
        <v>89</v>
      </c>
      <c r="F261" s="16">
        <v>96</v>
      </c>
      <c r="G261" s="17">
        <v>0</v>
      </c>
      <c r="H261" s="15">
        <f>G261*F261</f>
      </c>
      <c r="I261" s="17">
        <f>IF($H$2&gt;45000, D261*G261, IF($H$2&gt;15000, E261*G261, F261*G261)) </f>
      </c>
      <c r="J261" s="15" t="s">
        <v>38</v>
      </c>
      <c r="K261" t="s">
        <v>819</v>
      </c>
    </row>
    <row r="262" outlineLevel="1">
      <c r="A262" s="15" t="s">
        <v>820</v>
      </c>
      <c r="B262" s="15" t="s">
        <v>821</v>
      </c>
      <c r="C262" s="15" t="s">
        <v>38</v>
      </c>
      <c r="D262" s="16">
        <v>83</v>
      </c>
      <c r="E262" s="16">
        <v>89</v>
      </c>
      <c r="F262" s="16">
        <v>96</v>
      </c>
      <c r="G262" s="17">
        <v>0</v>
      </c>
      <c r="H262" s="15">
        <f>G262*F262</f>
      </c>
      <c r="I262" s="17">
        <f>IF($H$2&gt;45000, D262*G262, IF($H$2&gt;15000, E262*G262, F262*G262)) </f>
      </c>
      <c r="J262" s="15" t="s">
        <v>38</v>
      </c>
      <c r="K262" t="s">
        <v>822</v>
      </c>
    </row>
    <row r="263" outlineLevel="1">
      <c r="A263" s="15" t="s">
        <v>823</v>
      </c>
      <c r="B263" s="15" t="s">
        <v>824</v>
      </c>
      <c r="C263" s="15" t="s">
        <v>38</v>
      </c>
      <c r="D263" s="16">
        <v>83</v>
      </c>
      <c r="E263" s="16">
        <v>89</v>
      </c>
      <c r="F263" s="16">
        <v>96</v>
      </c>
      <c r="G263" s="17">
        <v>0</v>
      </c>
      <c r="H263" s="15">
        <f>G263*F263</f>
      </c>
      <c r="I263" s="17">
        <f>IF($H$2&gt;45000, D263*G263, IF($H$2&gt;15000, E263*G263, F263*G263)) </f>
      </c>
      <c r="J263" s="15" t="s">
        <v>38</v>
      </c>
      <c r="K263" t="s">
        <v>825</v>
      </c>
    </row>
    <row r="264" outlineLevel="1">
      <c r="A264" s="15" t="s">
        <v>826</v>
      </c>
      <c r="B264" s="15" t="s">
        <v>827</v>
      </c>
      <c r="C264" s="15" t="s">
        <v>38</v>
      </c>
      <c r="D264" s="16">
        <v>83</v>
      </c>
      <c r="E264" s="16">
        <v>89</v>
      </c>
      <c r="F264" s="16">
        <v>96</v>
      </c>
      <c r="G264" s="17">
        <v>0</v>
      </c>
      <c r="H264" s="15">
        <f>G264*F264</f>
      </c>
      <c r="I264" s="17">
        <f>IF($H$2&gt;45000, D264*G264, IF($H$2&gt;15000, E264*G264, F264*G264)) </f>
      </c>
      <c r="J264" s="15" t="s">
        <v>38</v>
      </c>
      <c r="K264" t="s">
        <v>828</v>
      </c>
    </row>
    <row r="265" outlineLevel="1">
      <c r="A265" s="15" t="s">
        <v>829</v>
      </c>
      <c r="B265" s="15" t="s">
        <v>830</v>
      </c>
      <c r="C265" s="15" t="s">
        <v>38</v>
      </c>
      <c r="D265" s="16">
        <v>83</v>
      </c>
      <c r="E265" s="16">
        <v>89</v>
      </c>
      <c r="F265" s="16">
        <v>96</v>
      </c>
      <c r="G265" s="17">
        <v>0</v>
      </c>
      <c r="H265" s="15">
        <f>G265*F265</f>
      </c>
      <c r="I265" s="17">
        <f>IF($H$2&gt;45000, D265*G265, IF($H$2&gt;15000, E265*G265, F265*G265)) </f>
      </c>
      <c r="J265" s="15" t="s">
        <v>38</v>
      </c>
      <c r="K265" t="s">
        <v>831</v>
      </c>
    </row>
    <row r="266" outlineLevel="1">
      <c r="A266" s="15" t="s">
        <v>832</v>
      </c>
      <c r="B266" s="15" t="s">
        <v>833</v>
      </c>
      <c r="C266" s="15" t="s">
        <v>38</v>
      </c>
      <c r="D266" s="16">
        <v>83</v>
      </c>
      <c r="E266" s="16">
        <v>89</v>
      </c>
      <c r="F266" s="16">
        <v>96</v>
      </c>
      <c r="G266" s="17">
        <v>0</v>
      </c>
      <c r="H266" s="15">
        <f>G266*F266</f>
      </c>
      <c r="I266" s="17">
        <f>IF($H$2&gt;45000, D266*G266, IF($H$2&gt;15000, E266*G266, F266*G266)) </f>
      </c>
      <c r="J266" s="15" t="s">
        <v>38</v>
      </c>
      <c r="K266" t="s">
        <v>834</v>
      </c>
    </row>
    <row r="267" outlineLevel="1">
      <c r="A267" s="15" t="s">
        <v>835</v>
      </c>
      <c r="B267" s="15" t="s">
        <v>836</v>
      </c>
      <c r="C267" s="15" t="s">
        <v>38</v>
      </c>
      <c r="D267" s="16">
        <v>83</v>
      </c>
      <c r="E267" s="16">
        <v>89</v>
      </c>
      <c r="F267" s="16">
        <v>96</v>
      </c>
      <c r="G267" s="17">
        <v>0</v>
      </c>
      <c r="H267" s="15">
        <f>G267*F267</f>
      </c>
      <c r="I267" s="17">
        <f>IF($H$2&gt;45000, D267*G267, IF($H$2&gt;15000, E267*G267, F267*G267)) </f>
      </c>
      <c r="J267" s="15" t="s">
        <v>38</v>
      </c>
      <c r="K267" t="s">
        <v>837</v>
      </c>
    </row>
    <row r="268" outlineLevel="1">
      <c r="A268" s="15" t="s">
        <v>838</v>
      </c>
      <c r="B268" s="15" t="s">
        <v>839</v>
      </c>
      <c r="C268" s="15" t="s">
        <v>38</v>
      </c>
      <c r="D268" s="16">
        <v>83</v>
      </c>
      <c r="E268" s="16">
        <v>89</v>
      </c>
      <c r="F268" s="16">
        <v>96</v>
      </c>
      <c r="G268" s="17">
        <v>0</v>
      </c>
      <c r="H268" s="15">
        <f>G268*F268</f>
      </c>
      <c r="I268" s="17">
        <f>IF($H$2&gt;45000, D268*G268, IF($H$2&gt;15000, E268*G268, F268*G268)) </f>
      </c>
      <c r="J268" s="15" t="s">
        <v>38</v>
      </c>
      <c r="K268" t="s">
        <v>840</v>
      </c>
    </row>
    <row r="269" outlineLevel="1">
      <c r="A269" s="15" t="s">
        <v>841</v>
      </c>
      <c r="B269" s="15" t="s">
        <v>842</v>
      </c>
      <c r="C269" s="15" t="s">
        <v>38</v>
      </c>
      <c r="D269" s="16">
        <v>83</v>
      </c>
      <c r="E269" s="16">
        <v>89</v>
      </c>
      <c r="F269" s="16">
        <v>96</v>
      </c>
      <c r="G269" s="17">
        <v>0</v>
      </c>
      <c r="H269" s="15">
        <f>G269*F269</f>
      </c>
      <c r="I269" s="17">
        <f>IF($H$2&gt;45000, D269*G269, IF($H$2&gt;15000, E269*G269, F269*G269)) </f>
      </c>
      <c r="J269" s="15" t="s">
        <v>38</v>
      </c>
      <c r="K269" t="s">
        <v>843</v>
      </c>
    </row>
    <row r="270" outlineLevel="1">
      <c r="A270" s="15" t="s">
        <v>844</v>
      </c>
      <c r="B270" s="15" t="s">
        <v>845</v>
      </c>
      <c r="C270" s="15" t="s">
        <v>38</v>
      </c>
      <c r="D270" s="16">
        <v>83</v>
      </c>
      <c r="E270" s="16">
        <v>89</v>
      </c>
      <c r="F270" s="16">
        <v>96</v>
      </c>
      <c r="G270" s="17">
        <v>0</v>
      </c>
      <c r="H270" s="15">
        <f>G270*F270</f>
      </c>
      <c r="I270" s="17">
        <f>IF($H$2&gt;45000, D270*G270, IF($H$2&gt;15000, E270*G270, F270*G270)) </f>
      </c>
      <c r="J270" s="15" t="s">
        <v>38</v>
      </c>
      <c r="K270" t="s">
        <v>846</v>
      </c>
    </row>
    <row r="271" outlineLevel="1">
      <c r="A271" s="15" t="s">
        <v>847</v>
      </c>
      <c r="B271" s="15" t="s">
        <v>848</v>
      </c>
      <c r="C271" s="15" t="s">
        <v>38</v>
      </c>
      <c r="D271" s="16">
        <v>83</v>
      </c>
      <c r="E271" s="16">
        <v>89</v>
      </c>
      <c r="F271" s="16">
        <v>96</v>
      </c>
      <c r="G271" s="17">
        <v>0</v>
      </c>
      <c r="H271" s="15">
        <f>G271*F271</f>
      </c>
      <c r="I271" s="17">
        <f>IF($H$2&gt;45000, D271*G271, IF($H$2&gt;15000, E271*G271, F271*G271)) </f>
      </c>
      <c r="J271" s="15" t="s">
        <v>38</v>
      </c>
      <c r="K271" t="s">
        <v>849</v>
      </c>
    </row>
    <row r="272" outlineLevel="1">
      <c r="A272" s="15" t="s">
        <v>850</v>
      </c>
      <c r="B272" s="15" t="s">
        <v>851</v>
      </c>
      <c r="C272" s="15" t="s">
        <v>38</v>
      </c>
      <c r="D272" s="16">
        <v>83</v>
      </c>
      <c r="E272" s="16">
        <v>89</v>
      </c>
      <c r="F272" s="16">
        <v>96</v>
      </c>
      <c r="G272" s="17">
        <v>0</v>
      </c>
      <c r="H272" s="15">
        <f>G272*F272</f>
      </c>
      <c r="I272" s="17">
        <f>IF($H$2&gt;45000, D272*G272, IF($H$2&gt;15000, E272*G272, F272*G272)) </f>
      </c>
      <c r="J272" s="15" t="s">
        <v>38</v>
      </c>
      <c r="K272" t="s">
        <v>852</v>
      </c>
    </row>
    <row r="273" outlineLevel="1">
      <c r="A273" s="15" t="s">
        <v>853</v>
      </c>
      <c r="B273" s="15" t="s">
        <v>854</v>
      </c>
      <c r="C273" s="15" t="s">
        <v>38</v>
      </c>
      <c r="D273" s="16">
        <v>83</v>
      </c>
      <c r="E273" s="16">
        <v>89</v>
      </c>
      <c r="F273" s="16">
        <v>96</v>
      </c>
      <c r="G273" s="17">
        <v>0</v>
      </c>
      <c r="H273" s="15">
        <f>G273*F273</f>
      </c>
      <c r="I273" s="17">
        <f>IF($H$2&gt;45000, D273*G273, IF($H$2&gt;15000, E273*G273, F273*G273)) </f>
      </c>
      <c r="J273" s="15" t="s">
        <v>38</v>
      </c>
      <c r="K273" t="s">
        <v>855</v>
      </c>
    </row>
    <row r="274" outlineLevel="1">
      <c r="A274" s="15" t="s">
        <v>856</v>
      </c>
      <c r="B274" s="15" t="s">
        <v>857</v>
      </c>
      <c r="C274" s="15" t="s">
        <v>38</v>
      </c>
      <c r="D274" s="16">
        <v>83</v>
      </c>
      <c r="E274" s="16">
        <v>89</v>
      </c>
      <c r="F274" s="16">
        <v>96</v>
      </c>
      <c r="G274" s="17">
        <v>0</v>
      </c>
      <c r="H274" s="15">
        <f>G274*F274</f>
      </c>
      <c r="I274" s="17">
        <f>IF($H$2&gt;45000, D274*G274, IF($H$2&gt;15000, E274*G274, F274*G274)) </f>
      </c>
      <c r="J274" s="15" t="s">
        <v>38</v>
      </c>
      <c r="K274" t="s">
        <v>858</v>
      </c>
    </row>
    <row r="275" outlineLevel="1">
      <c r="A275" s="15" t="s">
        <v>859</v>
      </c>
      <c r="B275" s="15" t="s">
        <v>860</v>
      </c>
      <c r="C275" s="15" t="s">
        <v>38</v>
      </c>
      <c r="D275" s="16">
        <v>83</v>
      </c>
      <c r="E275" s="16">
        <v>89</v>
      </c>
      <c r="F275" s="16">
        <v>96</v>
      </c>
      <c r="G275" s="17">
        <v>0</v>
      </c>
      <c r="H275" s="15">
        <f>G275*F275</f>
      </c>
      <c r="I275" s="17">
        <f>IF($H$2&gt;45000, D275*G275, IF($H$2&gt;15000, E275*G275, F275*G275)) </f>
      </c>
      <c r="J275" s="15" t="s">
        <v>38</v>
      </c>
      <c r="K275" t="s">
        <v>861</v>
      </c>
    </row>
    <row r="276" outlineLevel="1">
      <c r="A276" s="15" t="s">
        <v>862</v>
      </c>
      <c r="B276" s="15" t="s">
        <v>863</v>
      </c>
      <c r="C276" s="15" t="s">
        <v>38</v>
      </c>
      <c r="D276" s="16">
        <v>115</v>
      </c>
      <c r="E276" s="16">
        <v>124</v>
      </c>
      <c r="F276" s="16">
        <v>134</v>
      </c>
      <c r="G276" s="17">
        <v>0</v>
      </c>
      <c r="H276" s="15">
        <f>G276*F276</f>
      </c>
      <c r="I276" s="17">
        <f>IF($H$2&gt;45000, D276*G276, IF($H$2&gt;15000, E276*G276, F276*G276)) </f>
      </c>
      <c r="J276" s="15" t="s">
        <v>38</v>
      </c>
      <c r="K276" t="s">
        <v>864</v>
      </c>
    </row>
    <row r="277" outlineLevel="1">
      <c r="A277" s="15" t="s">
        <v>865</v>
      </c>
      <c r="B277" s="15" t="s">
        <v>866</v>
      </c>
      <c r="C277" s="15" t="s">
        <v>38</v>
      </c>
      <c r="D277" s="16">
        <v>115</v>
      </c>
      <c r="E277" s="16">
        <v>124</v>
      </c>
      <c r="F277" s="16">
        <v>134</v>
      </c>
      <c r="G277" s="17">
        <v>0</v>
      </c>
      <c r="H277" s="15">
        <f>G277*F277</f>
      </c>
      <c r="I277" s="17">
        <f>IF($H$2&gt;45000, D277*G277, IF($H$2&gt;15000, E277*G277, F277*G277)) </f>
      </c>
      <c r="J277" s="15" t="s">
        <v>38</v>
      </c>
      <c r="K277" t="s">
        <v>867</v>
      </c>
    </row>
    <row r="278" outlineLevel="1">
      <c r="A278" s="15" t="s">
        <v>868</v>
      </c>
      <c r="B278" s="15" t="s">
        <v>869</v>
      </c>
      <c r="C278" s="15" t="s">
        <v>38</v>
      </c>
      <c r="D278" s="16">
        <v>83</v>
      </c>
      <c r="E278" s="16">
        <v>89</v>
      </c>
      <c r="F278" s="16">
        <v>96</v>
      </c>
      <c r="G278" s="17">
        <v>0</v>
      </c>
      <c r="H278" s="15">
        <f>G278*F278</f>
      </c>
      <c r="I278" s="17">
        <f>IF($H$2&gt;45000, D278*G278, IF($H$2&gt;15000, E278*G278, F278*G278)) </f>
      </c>
      <c r="J278" s="15" t="s">
        <v>38</v>
      </c>
      <c r="K278" t="s">
        <v>870</v>
      </c>
    </row>
    <row r="279" outlineLevel="1">
      <c r="A279" s="15" t="s">
        <v>871</v>
      </c>
      <c r="B279" s="15" t="s">
        <v>872</v>
      </c>
      <c r="C279" s="15" t="s">
        <v>38</v>
      </c>
      <c r="D279" s="16">
        <v>83</v>
      </c>
      <c r="E279" s="16">
        <v>89</v>
      </c>
      <c r="F279" s="16">
        <v>96</v>
      </c>
      <c r="G279" s="17">
        <v>0</v>
      </c>
      <c r="H279" s="15">
        <f>G279*F279</f>
      </c>
      <c r="I279" s="17">
        <f>IF($H$2&gt;45000, D279*G279, IF($H$2&gt;15000, E279*G279, F279*G279)) </f>
      </c>
      <c r="J279" s="15" t="s">
        <v>38</v>
      </c>
      <c r="K279" t="s">
        <v>873</v>
      </c>
    </row>
    <row r="280" outlineLevel="1">
      <c r="A280" s="15" t="s">
        <v>874</v>
      </c>
      <c r="B280" s="15" t="s">
        <v>875</v>
      </c>
      <c r="C280" s="15" t="s">
        <v>38</v>
      </c>
      <c r="D280" s="16">
        <v>83</v>
      </c>
      <c r="E280" s="16">
        <v>89</v>
      </c>
      <c r="F280" s="16">
        <v>96</v>
      </c>
      <c r="G280" s="17">
        <v>0</v>
      </c>
      <c r="H280" s="15">
        <f>G280*F280</f>
      </c>
      <c r="I280" s="17">
        <f>IF($H$2&gt;45000, D280*G280, IF($H$2&gt;15000, E280*G280, F280*G280)) </f>
      </c>
      <c r="J280" s="15" t="s">
        <v>38</v>
      </c>
      <c r="K280" t="s">
        <v>876</v>
      </c>
    </row>
    <row r="281" outlineLevel="1">
      <c r="A281" s="15" t="s">
        <v>877</v>
      </c>
      <c r="B281" s="15" t="s">
        <v>878</v>
      </c>
      <c r="C281" s="15" t="s">
        <v>38</v>
      </c>
      <c r="D281" s="16">
        <v>83</v>
      </c>
      <c r="E281" s="16">
        <v>89</v>
      </c>
      <c r="F281" s="16">
        <v>96</v>
      </c>
      <c r="G281" s="17">
        <v>0</v>
      </c>
      <c r="H281" s="15">
        <f>G281*F281</f>
      </c>
      <c r="I281" s="17">
        <f>IF($H$2&gt;45000, D281*G281, IF($H$2&gt;15000, E281*G281, F281*G281)) </f>
      </c>
      <c r="J281" s="15" t="s">
        <v>38</v>
      </c>
      <c r="K281" t="s">
        <v>879</v>
      </c>
    </row>
    <row r="282" outlineLevel="1">
      <c r="A282" s="15" t="s">
        <v>880</v>
      </c>
      <c r="B282" s="15" t="s">
        <v>881</v>
      </c>
      <c r="C282" s="15" t="s">
        <v>38</v>
      </c>
      <c r="D282" s="16">
        <v>83</v>
      </c>
      <c r="E282" s="16">
        <v>89</v>
      </c>
      <c r="F282" s="16">
        <v>96</v>
      </c>
      <c r="G282" s="17">
        <v>0</v>
      </c>
      <c r="H282" s="15">
        <f>G282*F282</f>
      </c>
      <c r="I282" s="17">
        <f>IF($H$2&gt;45000, D282*G282, IF($H$2&gt;15000, E282*G282, F282*G282)) </f>
      </c>
      <c r="J282" s="15" t="s">
        <v>38</v>
      </c>
      <c r="K282" t="s">
        <v>882</v>
      </c>
    </row>
    <row r="283" outlineLevel="1">
      <c r="A283" s="15" t="s">
        <v>883</v>
      </c>
      <c r="B283" s="15" t="s">
        <v>884</v>
      </c>
      <c r="C283" s="15" t="s">
        <v>38</v>
      </c>
      <c r="D283" s="16">
        <v>93</v>
      </c>
      <c r="E283" s="16">
        <v>99</v>
      </c>
      <c r="F283" s="16">
        <v>107</v>
      </c>
      <c r="G283" s="17">
        <v>0</v>
      </c>
      <c r="H283" s="15">
        <f>G283*F283</f>
      </c>
      <c r="I283" s="17">
        <f>IF($H$2&gt;45000, D283*G283, IF($H$2&gt;15000, E283*G283, F283*G283)) </f>
      </c>
      <c r="J283" s="15" t="s">
        <v>38</v>
      </c>
      <c r="K283" t="s">
        <v>885</v>
      </c>
    </row>
    <row r="284" outlineLevel="1">
      <c r="A284" s="15" t="s">
        <v>886</v>
      </c>
      <c r="B284" s="15" t="s">
        <v>887</v>
      </c>
      <c r="C284" s="15" t="s">
        <v>38</v>
      </c>
      <c r="D284" s="16">
        <v>83</v>
      </c>
      <c r="E284" s="16">
        <v>89</v>
      </c>
      <c r="F284" s="16">
        <v>96</v>
      </c>
      <c r="G284" s="17">
        <v>0</v>
      </c>
      <c r="H284" s="15">
        <f>G284*F284</f>
      </c>
      <c r="I284" s="17">
        <f>IF($H$2&gt;45000, D284*G284, IF($H$2&gt;15000, E284*G284, F284*G284)) </f>
      </c>
      <c r="J284" s="15" t="s">
        <v>38</v>
      </c>
      <c r="K284" t="s">
        <v>888</v>
      </c>
    </row>
    <row r="285" outlineLevel="1">
      <c r="A285" s="15" t="s">
        <v>889</v>
      </c>
      <c r="B285" s="15" t="s">
        <v>890</v>
      </c>
      <c r="C285" s="15" t="s">
        <v>38</v>
      </c>
      <c r="D285" s="16">
        <v>90</v>
      </c>
      <c r="E285" s="16">
        <v>97</v>
      </c>
      <c r="F285" s="16">
        <v>104</v>
      </c>
      <c r="G285" s="17">
        <v>0</v>
      </c>
      <c r="H285" s="15">
        <f>G285*F285</f>
      </c>
      <c r="I285" s="17">
        <f>IF($H$2&gt;45000, D285*G285, IF($H$2&gt;15000, E285*G285, F285*G285)) </f>
      </c>
      <c r="J285" s="15" t="s">
        <v>38</v>
      </c>
      <c r="K285" t="s">
        <v>891</v>
      </c>
    </row>
    <row r="286" outlineLevel="1">
      <c r="A286" s="15" t="s">
        <v>892</v>
      </c>
      <c r="B286" s="15" t="s">
        <v>893</v>
      </c>
      <c r="C286" s="15" t="s">
        <v>38</v>
      </c>
      <c r="D286" s="16">
        <v>83</v>
      </c>
      <c r="E286" s="16">
        <v>89</v>
      </c>
      <c r="F286" s="16">
        <v>96</v>
      </c>
      <c r="G286" s="17">
        <v>0</v>
      </c>
      <c r="H286" s="15">
        <f>G286*F286</f>
      </c>
      <c r="I286" s="17">
        <f>IF($H$2&gt;45000, D286*G286, IF($H$2&gt;15000, E286*G286, F286*G286)) </f>
      </c>
      <c r="J286" s="15" t="s">
        <v>38</v>
      </c>
      <c r="K286" t="s">
        <v>894</v>
      </c>
    </row>
    <row r="287" outlineLevel="1">
      <c r="A287" s="15" t="s">
        <v>895</v>
      </c>
      <c r="B287" s="15" t="s">
        <v>896</v>
      </c>
      <c r="C287" s="15" t="s">
        <v>38</v>
      </c>
      <c r="D287" s="16">
        <v>90</v>
      </c>
      <c r="E287" s="16">
        <v>97</v>
      </c>
      <c r="F287" s="16">
        <v>104</v>
      </c>
      <c r="G287" s="17">
        <v>0</v>
      </c>
      <c r="H287" s="15">
        <f>G287*F287</f>
      </c>
      <c r="I287" s="17">
        <f>IF($H$2&gt;45000, D287*G287, IF($H$2&gt;15000, E287*G287, F287*G287)) </f>
      </c>
      <c r="J287" s="15" t="s">
        <v>38</v>
      </c>
      <c r="K287" t="s">
        <v>897</v>
      </c>
    </row>
    <row r="288" outlineLevel="1">
      <c r="A288" s="15" t="s">
        <v>898</v>
      </c>
      <c r="B288" s="15" t="s">
        <v>899</v>
      </c>
      <c r="C288" s="15" t="s">
        <v>38</v>
      </c>
      <c r="D288" s="16">
        <v>83</v>
      </c>
      <c r="E288" s="16">
        <v>89</v>
      </c>
      <c r="F288" s="16">
        <v>96</v>
      </c>
      <c r="G288" s="17">
        <v>0</v>
      </c>
      <c r="H288" s="15">
        <f>G288*F288</f>
      </c>
      <c r="I288" s="17">
        <f>IF($H$2&gt;45000, D288*G288, IF($H$2&gt;15000, E288*G288, F288*G288)) </f>
      </c>
      <c r="J288" s="15" t="s">
        <v>38</v>
      </c>
      <c r="K288" t="s">
        <v>900</v>
      </c>
    </row>
    <row r="289" outlineLevel="1">
      <c r="A289" s="15" t="s">
        <v>901</v>
      </c>
      <c r="B289" s="15" t="s">
        <v>902</v>
      </c>
      <c r="C289" s="15" t="s">
        <v>38</v>
      </c>
      <c r="D289" s="16">
        <v>90</v>
      </c>
      <c r="E289" s="16">
        <v>97</v>
      </c>
      <c r="F289" s="16">
        <v>104</v>
      </c>
      <c r="G289" s="17">
        <v>0</v>
      </c>
      <c r="H289" s="15">
        <f>G289*F289</f>
      </c>
      <c r="I289" s="17">
        <f>IF($H$2&gt;45000, D289*G289, IF($H$2&gt;15000, E289*G289, F289*G289)) </f>
      </c>
      <c r="J289" s="15" t="s">
        <v>38</v>
      </c>
      <c r="K289" t="s">
        <v>903</v>
      </c>
    </row>
    <row r="290" outlineLevel="1">
      <c r="A290" s="15" t="s">
        <v>904</v>
      </c>
      <c r="B290" s="15" t="s">
        <v>905</v>
      </c>
      <c r="C290" s="15" t="s">
        <v>38</v>
      </c>
      <c r="D290" s="16">
        <v>83</v>
      </c>
      <c r="E290" s="16">
        <v>89</v>
      </c>
      <c r="F290" s="16">
        <v>96</v>
      </c>
      <c r="G290" s="17">
        <v>0</v>
      </c>
      <c r="H290" s="15">
        <f>G290*F290</f>
      </c>
      <c r="I290" s="17">
        <f>IF($H$2&gt;45000, D290*G290, IF($H$2&gt;15000, E290*G290, F290*G290)) </f>
      </c>
      <c r="J290" s="15" t="s">
        <v>38</v>
      </c>
      <c r="K290" t="s">
        <v>906</v>
      </c>
    </row>
    <row r="291" outlineLevel="1">
      <c r="A291" s="15" t="s">
        <v>907</v>
      </c>
      <c r="B291" s="15" t="s">
        <v>908</v>
      </c>
      <c r="C291" s="15" t="s">
        <v>38</v>
      </c>
      <c r="D291" s="16">
        <v>90</v>
      </c>
      <c r="E291" s="16">
        <v>97</v>
      </c>
      <c r="F291" s="16">
        <v>104</v>
      </c>
      <c r="G291" s="17">
        <v>0</v>
      </c>
      <c r="H291" s="15">
        <f>G291*F291</f>
      </c>
      <c r="I291" s="17">
        <f>IF($H$2&gt;45000, D291*G291, IF($H$2&gt;15000, E291*G291, F291*G291)) </f>
      </c>
      <c r="J291" s="15" t="s">
        <v>38</v>
      </c>
      <c r="K291" t="s">
        <v>909</v>
      </c>
    </row>
    <row r="292" outlineLevel="1">
      <c r="A292" s="15" t="s">
        <v>910</v>
      </c>
      <c r="B292" s="15" t="s">
        <v>911</v>
      </c>
      <c r="C292" s="15" t="s">
        <v>38</v>
      </c>
      <c r="D292" s="16">
        <v>90</v>
      </c>
      <c r="E292" s="16">
        <v>97</v>
      </c>
      <c r="F292" s="16">
        <v>104</v>
      </c>
      <c r="G292" s="17">
        <v>0</v>
      </c>
      <c r="H292" s="15">
        <f>G292*F292</f>
      </c>
      <c r="I292" s="17">
        <f>IF($H$2&gt;45000, D292*G292, IF($H$2&gt;15000, E292*G292, F292*G292)) </f>
      </c>
      <c r="J292" s="15" t="s">
        <v>38</v>
      </c>
      <c r="K292" t="s">
        <v>912</v>
      </c>
    </row>
    <row r="293" outlineLevel="1">
      <c r="A293" s="15" t="s">
        <v>913</v>
      </c>
      <c r="B293" s="15" t="s">
        <v>914</v>
      </c>
      <c r="C293" s="15" t="s">
        <v>38</v>
      </c>
      <c r="D293" s="16">
        <v>83</v>
      </c>
      <c r="E293" s="16">
        <v>89</v>
      </c>
      <c r="F293" s="16">
        <v>96</v>
      </c>
      <c r="G293" s="17">
        <v>0</v>
      </c>
      <c r="H293" s="15">
        <f>G293*F293</f>
      </c>
      <c r="I293" s="17">
        <f>IF($H$2&gt;45000, D293*G293, IF($H$2&gt;15000, E293*G293, F293*G293)) </f>
      </c>
      <c r="J293" s="15" t="s">
        <v>38</v>
      </c>
      <c r="K293" t="s">
        <v>915</v>
      </c>
    </row>
    <row r="294"/>
    <row r="295">
      <c r="A295" s="12" t="s">
        <v>35</v>
      </c>
    </row>
  </sheetData>
  <mergeCells count="4">
    <mergeCell ref="A4:J4"/>
    <mergeCell ref="A6:J6"/>
    <mergeCell ref="A220:J220"/>
    <mergeCell ref="A295:J295"/>
  </mergeCells>
  <hyperlinks>
    <hyperlink ref="A4" location="ОГЛАВЛЕНИЕ!A1"/>
    <hyperlink ref="A295" location="ОГЛАВЛЕНИЕ!A1"/>
  </hyperlinks>
</worksheet>
</file>

<file path=xl/worksheets/sheet5.xml><?xml version="1.0" encoding="utf-8"?>
<worksheet xmlns="http://schemas.openxmlformats.org/spreadsheetml/2006/main" xmlns:r="http://schemas.openxmlformats.org/officeDocument/2006/relationships" xmlns:mc="http://schemas.openxmlformats.org/markup-compatibility/2006">
  <sheetPr>
    <outlinePr summaryBelow="false" summaryRight="false" showOutlineSymbols="false"/>
  </sheetPr>
  <dimension ref="A1"/>
  <sheetViews>
    <sheetView workbookViewId="0"/>
  </sheetViews>
  <cols>
    <col customWidth="true" max="1" min="1" width="14"/>
    <col customWidth="true" max="2" min="2" width="39"/>
    <col customWidth="true" hidden="true" max="8" min="8" width="9.140625"/>
    <col customWidth="true" max="9" min="9" width="10"/>
    <col customWidth="true" max="10" min="10" width="25"/>
    <col customWidth="true" hidden="true" max="12" min="11" width="9.140625"/>
  </cols>
  <sheetData>
    <row r="1" hidden="true">
      <c r="A1" t="s">
        <v>22</v>
      </c>
      <c r="B1" t="s">
        <v>23</v>
      </c>
      <c r="C1" t="s">
        <v>24</v>
      </c>
      <c r="D1" t="s">
        <v>25</v>
      </c>
      <c r="E1" t="s">
        <v>26</v>
      </c>
      <c r="F1" t="s">
        <v>27</v>
      </c>
      <c r="G1" t="s">
        <v>28</v>
      </c>
      <c r="H1" t="s">
        <v>29</v>
      </c>
      <c r="I1" t="s">
        <v>30</v>
      </c>
      <c r="J1" t="s">
        <v>31</v>
      </c>
      <c r="K1" t="s">
        <v>32</v>
      </c>
      <c r="L1" t="s">
        <v>33</v>
      </c>
    </row>
    <row r="2" ht="11" customHeight="true">
      <c r="H2" s="10">
        <f>=SUM(H6:H18)</f>
        <v>0</v>
      </c>
      <c r="I2" s="11" t="s">
        <v>34</v>
      </c>
      <c r="J2" s="11">
        <f>=SUM(I6:I18)</f>
        <v>0</v>
      </c>
    </row>
    <row r="3"/>
    <row r="4">
      <c r="A4" s="12" t="s">
        <v>35</v>
      </c>
    </row>
    <row r="5" ht="20" customHeight="true">
      <c r="A5" s="13" t="s">
        <v>22</v>
      </c>
      <c r="B5" s="13" t="s">
        <v>23</v>
      </c>
      <c r="C5" s="13" t="s">
        <v>24</v>
      </c>
      <c r="D5" s="14" t="s">
        <v>25</v>
      </c>
      <c r="E5" s="14" t="s">
        <v>26</v>
      </c>
      <c r="F5" s="14" t="s">
        <v>27</v>
      </c>
      <c r="G5" s="14" t="s">
        <v>28</v>
      </c>
      <c r="H5" s="13" t="s">
        <v>29</v>
      </c>
      <c r="I5" s="14" t="s">
        <v>30</v>
      </c>
      <c r="J5" s="13" t="s">
        <v>31</v>
      </c>
    </row>
    <row r="6">
      <c r="A6" s="15" t="s">
        <v>916</v>
      </c>
      <c r="B6" s="15" t="s">
        <v>917</v>
      </c>
      <c r="C6" s="15" t="s">
        <v>38</v>
      </c>
      <c r="D6" s="16">
        <v>89</v>
      </c>
      <c r="E6" s="16">
        <v>97</v>
      </c>
      <c r="F6" s="16">
        <v>106</v>
      </c>
      <c r="G6" s="17">
        <v>0</v>
      </c>
      <c r="H6" s="15">
        <f>G6*F6</f>
      </c>
      <c r="I6" s="17">
        <f>IF($H$2&gt;45000, D6*G6, IF($H$2&gt;15000, E6*G6, F6*G6)) </f>
      </c>
      <c r="J6" s="15" t="s">
        <v>38</v>
      </c>
      <c r="K6" t="s">
        <v>918</v>
      </c>
    </row>
    <row r="7">
      <c r="A7" s="15" t="s">
        <v>919</v>
      </c>
      <c r="B7" s="15" t="s">
        <v>920</v>
      </c>
      <c r="C7" s="15" t="s">
        <v>38</v>
      </c>
      <c r="D7" s="16">
        <v>89</v>
      </c>
      <c r="E7" s="16">
        <v>97</v>
      </c>
      <c r="F7" s="16">
        <v>106</v>
      </c>
      <c r="G7" s="17">
        <v>0</v>
      </c>
      <c r="H7" s="15">
        <f>G7*F7</f>
      </c>
      <c r="I7" s="17">
        <f>IF($H$2&gt;45000, D7*G7, IF($H$2&gt;15000, E7*G7, F7*G7)) </f>
      </c>
      <c r="J7" s="15" t="s">
        <v>38</v>
      </c>
      <c r="K7" t="s">
        <v>921</v>
      </c>
    </row>
    <row r="8">
      <c r="A8" s="15" t="s">
        <v>922</v>
      </c>
      <c r="B8" s="15" t="s">
        <v>923</v>
      </c>
      <c r="C8" s="15" t="s">
        <v>38</v>
      </c>
      <c r="D8" s="16">
        <v>89</v>
      </c>
      <c r="E8" s="16">
        <v>97</v>
      </c>
      <c r="F8" s="16">
        <v>106</v>
      </c>
      <c r="G8" s="17">
        <v>0</v>
      </c>
      <c r="H8" s="15">
        <f>G8*F8</f>
      </c>
      <c r="I8" s="17">
        <f>IF($H$2&gt;45000, D8*G8, IF($H$2&gt;15000, E8*G8, F8*G8)) </f>
      </c>
      <c r="J8" s="15" t="s">
        <v>38</v>
      </c>
      <c r="K8" t="s">
        <v>924</v>
      </c>
    </row>
    <row r="9">
      <c r="A9" s="15" t="s">
        <v>925</v>
      </c>
      <c r="B9" s="15" t="s">
        <v>926</v>
      </c>
      <c r="C9" s="15" t="s">
        <v>38</v>
      </c>
      <c r="D9" s="16">
        <v>89</v>
      </c>
      <c r="E9" s="16">
        <v>97</v>
      </c>
      <c r="F9" s="16">
        <v>106</v>
      </c>
      <c r="G9" s="17">
        <v>0</v>
      </c>
      <c r="H9" s="15">
        <f>G9*F9</f>
      </c>
      <c r="I9" s="17">
        <f>IF($H$2&gt;45000, D9*G9, IF($H$2&gt;15000, E9*G9, F9*G9)) </f>
      </c>
      <c r="J9" s="15" t="s">
        <v>38</v>
      </c>
      <c r="K9" t="s">
        <v>927</v>
      </c>
    </row>
    <row r="10">
      <c r="A10" s="15" t="s">
        <v>928</v>
      </c>
      <c r="B10" s="15" t="s">
        <v>929</v>
      </c>
      <c r="C10" s="15" t="s">
        <v>38</v>
      </c>
      <c r="D10" s="16">
        <v>95</v>
      </c>
      <c r="E10" s="16">
        <v>104</v>
      </c>
      <c r="F10" s="16">
        <v>114</v>
      </c>
      <c r="G10" s="17">
        <v>0</v>
      </c>
      <c r="H10" s="15">
        <f>G10*F10</f>
      </c>
      <c r="I10" s="17">
        <f>IF($H$2&gt;45000, D10*G10, IF($H$2&gt;15000, E10*G10, F10*G10)) </f>
      </c>
      <c r="J10" s="15" t="s">
        <v>38</v>
      </c>
      <c r="K10" t="s">
        <v>930</v>
      </c>
    </row>
    <row r="11">
      <c r="A11" s="15" t="s">
        <v>931</v>
      </c>
      <c r="B11" s="15" t="s">
        <v>932</v>
      </c>
      <c r="C11" s="15" t="s">
        <v>933</v>
      </c>
      <c r="D11" s="16">
        <v>95</v>
      </c>
      <c r="E11" s="16">
        <v>104</v>
      </c>
      <c r="F11" s="16">
        <v>114</v>
      </c>
      <c r="G11" s="17">
        <v>0</v>
      </c>
      <c r="H11" s="15">
        <f>G11*F11</f>
      </c>
      <c r="I11" s="17">
        <f>IF($H$2&gt;45000, D11*G11, IF($H$2&gt;15000, E11*G11, F11*G11)) </f>
      </c>
      <c r="J11" s="15" t="s">
        <v>38</v>
      </c>
      <c r="K11" t="s">
        <v>934</v>
      </c>
    </row>
    <row r="12">
      <c r="A12" s="15" t="s">
        <v>935</v>
      </c>
      <c r="B12" s="15" t="s">
        <v>936</v>
      </c>
      <c r="C12" s="15" t="s">
        <v>38</v>
      </c>
      <c r="D12" s="16">
        <v>95</v>
      </c>
      <c r="E12" s="16">
        <v>104</v>
      </c>
      <c r="F12" s="16">
        <v>114</v>
      </c>
      <c r="G12" s="17">
        <v>0</v>
      </c>
      <c r="H12" s="15">
        <f>G12*F12</f>
      </c>
      <c r="I12" s="17">
        <f>IF($H$2&gt;45000, D12*G12, IF($H$2&gt;15000, E12*G12, F12*G12)) </f>
      </c>
      <c r="J12" s="15" t="s">
        <v>38</v>
      </c>
      <c r="K12" t="s">
        <v>937</v>
      </c>
    </row>
    <row r="13">
      <c r="A13" s="15" t="s">
        <v>938</v>
      </c>
      <c r="B13" s="15" t="s">
        <v>939</v>
      </c>
      <c r="C13" s="15" t="s">
        <v>38</v>
      </c>
      <c r="D13" s="16">
        <v>95</v>
      </c>
      <c r="E13" s="16">
        <v>104</v>
      </c>
      <c r="F13" s="16">
        <v>114</v>
      </c>
      <c r="G13" s="17">
        <v>0</v>
      </c>
      <c r="H13" s="15">
        <f>G13*F13</f>
      </c>
      <c r="I13" s="17">
        <f>IF($H$2&gt;45000, D13*G13, IF($H$2&gt;15000, E13*G13, F13*G13)) </f>
      </c>
      <c r="J13" s="15" t="s">
        <v>38</v>
      </c>
      <c r="K13" t="s">
        <v>940</v>
      </c>
    </row>
    <row r="14">
      <c r="A14" s="15" t="s">
        <v>941</v>
      </c>
      <c r="B14" s="15" t="s">
        <v>942</v>
      </c>
      <c r="C14" s="15" t="s">
        <v>38</v>
      </c>
      <c r="D14" s="16">
        <v>95</v>
      </c>
      <c r="E14" s="16">
        <v>104</v>
      </c>
      <c r="F14" s="16">
        <v>114</v>
      </c>
      <c r="G14" s="17">
        <v>0</v>
      </c>
      <c r="H14" s="15">
        <f>G14*F14</f>
      </c>
      <c r="I14" s="17">
        <f>IF($H$2&gt;45000, D14*G14, IF($H$2&gt;15000, E14*G14, F14*G14)) </f>
      </c>
      <c r="J14" s="15" t="s">
        <v>38</v>
      </c>
      <c r="K14" t="s">
        <v>943</v>
      </c>
    </row>
    <row r="15">
      <c r="A15" s="15" t="s">
        <v>944</v>
      </c>
      <c r="B15" s="15" t="s">
        <v>945</v>
      </c>
      <c r="C15" s="15" t="s">
        <v>38</v>
      </c>
      <c r="D15" s="16">
        <v>123</v>
      </c>
      <c r="E15" s="16">
        <v>134</v>
      </c>
      <c r="F15" s="16">
        <v>147</v>
      </c>
      <c r="G15" s="17">
        <v>0</v>
      </c>
      <c r="H15" s="15">
        <f>G15*F15</f>
      </c>
      <c r="I15" s="17">
        <f>IF($H$2&gt;45000, D15*G15, IF($H$2&gt;15000, E15*G15, F15*G15)) </f>
      </c>
      <c r="J15" s="15" t="s">
        <v>38</v>
      </c>
      <c r="K15" t="s">
        <v>946</v>
      </c>
    </row>
    <row r="16">
      <c r="A16" s="15" t="s">
        <v>947</v>
      </c>
      <c r="B16" s="15" t="s">
        <v>948</v>
      </c>
      <c r="C16" s="15" t="s">
        <v>38</v>
      </c>
      <c r="D16" s="16">
        <v>123</v>
      </c>
      <c r="E16" s="16">
        <v>134</v>
      </c>
      <c r="F16" s="16">
        <v>147</v>
      </c>
      <c r="G16" s="17">
        <v>0</v>
      </c>
      <c r="H16" s="15">
        <f>G16*F16</f>
      </c>
      <c r="I16" s="17">
        <f>IF($H$2&gt;45000, D16*G16, IF($H$2&gt;15000, E16*G16, F16*G16)) </f>
      </c>
      <c r="J16" s="15" t="s">
        <v>38</v>
      </c>
      <c r="K16" t="s">
        <v>949</v>
      </c>
    </row>
    <row r="17">
      <c r="A17" s="15" t="s">
        <v>950</v>
      </c>
      <c r="B17" s="15" t="s">
        <v>951</v>
      </c>
      <c r="C17" s="15" t="s">
        <v>38</v>
      </c>
      <c r="D17" s="16">
        <v>123</v>
      </c>
      <c r="E17" s="16">
        <v>134</v>
      </c>
      <c r="F17" s="16">
        <v>147</v>
      </c>
      <c r="G17" s="17">
        <v>0</v>
      </c>
      <c r="H17" s="15">
        <f>G17*F17</f>
      </c>
      <c r="I17" s="17">
        <f>IF($H$2&gt;45000, D17*G17, IF($H$2&gt;15000, E17*G17, F17*G17)) </f>
      </c>
      <c r="J17" s="15" t="s">
        <v>38</v>
      </c>
      <c r="K17" t="s">
        <v>952</v>
      </c>
    </row>
    <row r="18">
      <c r="A18" s="15" t="s">
        <v>953</v>
      </c>
      <c r="B18" s="15" t="s">
        <v>954</v>
      </c>
      <c r="C18" s="15" t="s">
        <v>38</v>
      </c>
      <c r="D18" s="16">
        <v>123</v>
      </c>
      <c r="E18" s="16">
        <v>134</v>
      </c>
      <c r="F18" s="16">
        <v>147</v>
      </c>
      <c r="G18" s="17">
        <v>0</v>
      </c>
      <c r="H18" s="15">
        <f>G18*F18</f>
      </c>
      <c r="I18" s="17">
        <f>IF($H$2&gt;45000, D18*G18, IF($H$2&gt;15000, E18*G18, F18*G18)) </f>
      </c>
      <c r="J18" s="15" t="s">
        <v>38</v>
      </c>
      <c r="K18" t="s">
        <v>955</v>
      </c>
    </row>
    <row r="19"/>
    <row r="20">
      <c r="A20" s="12" t="s">
        <v>35</v>
      </c>
    </row>
  </sheetData>
  <mergeCells count="2">
    <mergeCell ref="A4:J4"/>
    <mergeCell ref="A20:J20"/>
  </mergeCells>
  <hyperlinks>
    <hyperlink ref="A4" location="ОГЛАВЛЕНИЕ!A1"/>
    <hyperlink ref="A20" location="ОГЛАВЛЕНИЕ!A1"/>
  </hyperlinks>
</worksheet>
</file>

<file path=xl/worksheets/sheet6.xml><?xml version="1.0" encoding="utf-8"?>
<worksheet xmlns="http://schemas.openxmlformats.org/spreadsheetml/2006/main" xmlns:r="http://schemas.openxmlformats.org/officeDocument/2006/relationships" xmlns:mc="http://schemas.openxmlformats.org/markup-compatibility/2006">
  <sheetPr>
    <outlinePr summaryBelow="false" summaryRight="false" showOutlineSymbols="false"/>
  </sheetPr>
  <dimension ref="A1"/>
  <sheetViews>
    <sheetView workbookViewId="0"/>
  </sheetViews>
  <cols>
    <col customWidth="true" max="1" min="1" width="14"/>
    <col customWidth="true" max="2" min="2" width="39"/>
    <col customWidth="true" hidden="true" max="8" min="8" width="9.140625"/>
    <col customWidth="true" max="9" min="9" width="10"/>
    <col customWidth="true" max="10" min="10" width="25"/>
    <col customWidth="true" hidden="true" max="12" min="11" width="9.140625"/>
  </cols>
  <sheetData>
    <row r="1" hidden="true">
      <c r="A1" t="s">
        <v>22</v>
      </c>
      <c r="B1" t="s">
        <v>23</v>
      </c>
      <c r="C1" t="s">
        <v>24</v>
      </c>
      <c r="D1" t="s">
        <v>25</v>
      </c>
      <c r="E1" t="s">
        <v>26</v>
      </c>
      <c r="F1" t="s">
        <v>27</v>
      </c>
      <c r="G1" t="s">
        <v>28</v>
      </c>
      <c r="H1" t="s">
        <v>29</v>
      </c>
      <c r="I1" t="s">
        <v>30</v>
      </c>
      <c r="J1" t="s">
        <v>31</v>
      </c>
      <c r="K1" t="s">
        <v>32</v>
      </c>
      <c r="L1" t="s">
        <v>33</v>
      </c>
    </row>
    <row r="2" ht="11" customHeight="true">
      <c r="H2" s="10">
        <f>=SUM(H6:H35)</f>
        <v>0</v>
      </c>
      <c r="I2" s="11" t="s">
        <v>34</v>
      </c>
      <c r="J2" s="11">
        <f>=SUM(I6:I35)</f>
        <v>0</v>
      </c>
    </row>
    <row r="3"/>
    <row r="4">
      <c r="A4" s="12" t="s">
        <v>35</v>
      </c>
    </row>
    <row r="5" ht="20" customHeight="true">
      <c r="A5" s="13" t="s">
        <v>22</v>
      </c>
      <c r="B5" s="13" t="s">
        <v>23</v>
      </c>
      <c r="C5" s="13" t="s">
        <v>24</v>
      </c>
      <c r="D5" s="14" t="s">
        <v>25</v>
      </c>
      <c r="E5" s="14" t="s">
        <v>26</v>
      </c>
      <c r="F5" s="14" t="s">
        <v>27</v>
      </c>
      <c r="G5" s="14" t="s">
        <v>28</v>
      </c>
      <c r="H5" s="13" t="s">
        <v>29</v>
      </c>
      <c r="I5" s="14" t="s">
        <v>30</v>
      </c>
      <c r="J5" s="13" t="s">
        <v>31</v>
      </c>
    </row>
    <row r="6">
      <c r="A6" s="18" t="s">
        <v>956</v>
      </c>
    </row>
    <row r="7" outlineLevel="1">
      <c r="A7" s="15" t="s">
        <v>957</v>
      </c>
      <c r="B7" s="15" t="s">
        <v>958</v>
      </c>
      <c r="C7" s="15" t="s">
        <v>38</v>
      </c>
      <c r="D7" s="16">
        <v>77</v>
      </c>
      <c r="E7" s="16">
        <v>84</v>
      </c>
      <c r="F7" s="16">
        <v>92</v>
      </c>
      <c r="G7" s="17">
        <v>0</v>
      </c>
      <c r="H7" s="15">
        <f>G7*F7</f>
      </c>
      <c r="I7" s="17">
        <f>IF($H$2&gt;45000, D7*G7, IF($H$2&gt;15000, E7*G7, F7*G7)) </f>
      </c>
      <c r="J7" s="15" t="s">
        <v>38</v>
      </c>
      <c r="K7" t="s">
        <v>959</v>
      </c>
    </row>
    <row r="8" outlineLevel="1">
      <c r="A8" s="15" t="s">
        <v>960</v>
      </c>
      <c r="B8" s="15" t="s">
        <v>961</v>
      </c>
      <c r="C8" s="15" t="s">
        <v>38</v>
      </c>
      <c r="D8" s="16">
        <v>77</v>
      </c>
      <c r="E8" s="16">
        <v>84</v>
      </c>
      <c r="F8" s="16">
        <v>92</v>
      </c>
      <c r="G8" s="17">
        <v>0</v>
      </c>
      <c r="H8" s="15">
        <f>G8*F8</f>
      </c>
      <c r="I8" s="17">
        <f>IF($H$2&gt;45000, D8*G8, IF($H$2&gt;15000, E8*G8, F8*G8)) </f>
      </c>
      <c r="J8" s="15" t="s">
        <v>38</v>
      </c>
      <c r="K8" t="s">
        <v>962</v>
      </c>
    </row>
    <row r="9" outlineLevel="1">
      <c r="A9" s="15" t="s">
        <v>963</v>
      </c>
      <c r="B9" s="15" t="s">
        <v>964</v>
      </c>
      <c r="C9" s="15" t="s">
        <v>38</v>
      </c>
      <c r="D9" s="16">
        <v>77</v>
      </c>
      <c r="E9" s="16">
        <v>84</v>
      </c>
      <c r="F9" s="16">
        <v>92</v>
      </c>
      <c r="G9" s="17">
        <v>0</v>
      </c>
      <c r="H9" s="15">
        <f>G9*F9</f>
      </c>
      <c r="I9" s="17">
        <f>IF($H$2&gt;45000, D9*G9, IF($H$2&gt;15000, E9*G9, F9*G9)) </f>
      </c>
      <c r="J9" s="15" t="s">
        <v>38</v>
      </c>
      <c r="K9" t="s">
        <v>965</v>
      </c>
    </row>
    <row r="10" outlineLevel="1">
      <c r="A10" s="15" t="s">
        <v>966</v>
      </c>
      <c r="B10" s="15" t="s">
        <v>967</v>
      </c>
      <c r="C10" s="15" t="s">
        <v>38</v>
      </c>
      <c r="D10" s="16">
        <v>77</v>
      </c>
      <c r="E10" s="16">
        <v>84</v>
      </c>
      <c r="F10" s="16">
        <v>92</v>
      </c>
      <c r="G10" s="17">
        <v>0</v>
      </c>
      <c r="H10" s="15">
        <f>G10*F10</f>
      </c>
      <c r="I10" s="17">
        <f>IF($H$2&gt;45000, D10*G10, IF($H$2&gt;15000, E10*G10, F10*G10)) </f>
      </c>
      <c r="J10" s="15" t="s">
        <v>38</v>
      </c>
      <c r="K10" t="s">
        <v>968</v>
      </c>
    </row>
    <row r="11" outlineLevel="1">
      <c r="A11" s="15" t="s">
        <v>969</v>
      </c>
      <c r="B11" s="15" t="s">
        <v>970</v>
      </c>
      <c r="C11" s="15" t="s">
        <v>38</v>
      </c>
      <c r="D11" s="16">
        <v>77</v>
      </c>
      <c r="E11" s="16">
        <v>84</v>
      </c>
      <c r="F11" s="16">
        <v>92</v>
      </c>
      <c r="G11" s="17">
        <v>0</v>
      </c>
      <c r="H11" s="15">
        <f>G11*F11</f>
      </c>
      <c r="I11" s="17">
        <f>IF($H$2&gt;45000, D11*G11, IF($H$2&gt;15000, E11*G11, F11*G11)) </f>
      </c>
      <c r="J11" s="15" t="s">
        <v>38</v>
      </c>
      <c r="K11" t="s">
        <v>971</v>
      </c>
    </row>
    <row r="12" outlineLevel="1">
      <c r="A12" s="15" t="s">
        <v>972</v>
      </c>
      <c r="B12" s="15" t="s">
        <v>973</v>
      </c>
      <c r="C12" s="15" t="s">
        <v>38</v>
      </c>
      <c r="D12" s="16">
        <v>77</v>
      </c>
      <c r="E12" s="16">
        <v>84</v>
      </c>
      <c r="F12" s="16">
        <v>92</v>
      </c>
      <c r="G12" s="17">
        <v>0</v>
      </c>
      <c r="H12" s="15">
        <f>G12*F12</f>
      </c>
      <c r="I12" s="17">
        <f>IF($H$2&gt;45000, D12*G12, IF($H$2&gt;15000, E12*G12, F12*G12)) </f>
      </c>
      <c r="J12" s="15" t="s">
        <v>38</v>
      </c>
      <c r="K12" t="s">
        <v>974</v>
      </c>
    </row>
    <row r="13" outlineLevel="1">
      <c r="A13" s="15" t="s">
        <v>975</v>
      </c>
      <c r="B13" s="15" t="s">
        <v>976</v>
      </c>
      <c r="C13" s="15" t="s">
        <v>38</v>
      </c>
      <c r="D13" s="16">
        <v>77</v>
      </c>
      <c r="E13" s="16">
        <v>84</v>
      </c>
      <c r="F13" s="16">
        <v>92</v>
      </c>
      <c r="G13" s="17">
        <v>0</v>
      </c>
      <c r="H13" s="15">
        <f>G13*F13</f>
      </c>
      <c r="I13" s="17">
        <f>IF($H$2&gt;45000, D13*G13, IF($H$2&gt;15000, E13*G13, F13*G13)) </f>
      </c>
      <c r="J13" s="15" t="s">
        <v>38</v>
      </c>
      <c r="K13" t="s">
        <v>977</v>
      </c>
    </row>
    <row r="14" outlineLevel="1">
      <c r="A14" s="15" t="s">
        <v>978</v>
      </c>
      <c r="B14" s="15" t="s">
        <v>979</v>
      </c>
      <c r="C14" s="15" t="s">
        <v>38</v>
      </c>
      <c r="D14" s="16">
        <v>77</v>
      </c>
      <c r="E14" s="16">
        <v>84</v>
      </c>
      <c r="F14" s="16">
        <v>92</v>
      </c>
      <c r="G14" s="17">
        <v>0</v>
      </c>
      <c r="H14" s="15">
        <f>G14*F14</f>
      </c>
      <c r="I14" s="17">
        <f>IF($H$2&gt;45000, D14*G14, IF($H$2&gt;15000, E14*G14, F14*G14)) </f>
      </c>
      <c r="J14" s="15" t="s">
        <v>38</v>
      </c>
      <c r="K14" t="s">
        <v>980</v>
      </c>
    </row>
    <row r="15" outlineLevel="1">
      <c r="A15" s="15" t="s">
        <v>981</v>
      </c>
      <c r="B15" s="15" t="s">
        <v>982</v>
      </c>
      <c r="C15" s="15" t="s">
        <v>38</v>
      </c>
      <c r="D15" s="16">
        <v>86</v>
      </c>
      <c r="E15" s="16">
        <v>94</v>
      </c>
      <c r="F15" s="16">
        <v>103</v>
      </c>
      <c r="G15" s="17">
        <v>0</v>
      </c>
      <c r="H15" s="15">
        <f>G15*F15</f>
      </c>
      <c r="I15" s="17">
        <f>IF($H$2&gt;45000, D15*G15, IF($H$2&gt;15000, E15*G15, F15*G15)) </f>
      </c>
      <c r="J15" s="15" t="s">
        <v>38</v>
      </c>
      <c r="K15" t="s">
        <v>983</v>
      </c>
    </row>
    <row r="16" outlineLevel="1">
      <c r="A16" s="15" t="s">
        <v>984</v>
      </c>
      <c r="B16" s="15" t="s">
        <v>985</v>
      </c>
      <c r="C16" s="15" t="s">
        <v>38</v>
      </c>
      <c r="D16" s="16">
        <v>86</v>
      </c>
      <c r="E16" s="16">
        <v>94</v>
      </c>
      <c r="F16" s="16">
        <v>103</v>
      </c>
      <c r="G16" s="17">
        <v>0</v>
      </c>
      <c r="H16" s="15">
        <f>G16*F16</f>
      </c>
      <c r="I16" s="17">
        <f>IF($H$2&gt;45000, D16*G16, IF($H$2&gt;15000, E16*G16, F16*G16)) </f>
      </c>
      <c r="J16" s="15" t="s">
        <v>38</v>
      </c>
      <c r="K16" t="s">
        <v>986</v>
      </c>
    </row>
    <row r="17" outlineLevel="1">
      <c r="A17" s="15" t="s">
        <v>987</v>
      </c>
      <c r="B17" s="15" t="s">
        <v>988</v>
      </c>
      <c r="C17" s="15" t="s">
        <v>38</v>
      </c>
      <c r="D17" s="16">
        <v>86</v>
      </c>
      <c r="E17" s="16">
        <v>94</v>
      </c>
      <c r="F17" s="16">
        <v>103</v>
      </c>
      <c r="G17" s="17">
        <v>0</v>
      </c>
      <c r="H17" s="15">
        <f>G17*F17</f>
      </c>
      <c r="I17" s="17">
        <f>IF($H$2&gt;45000, D17*G17, IF($H$2&gt;15000, E17*G17, F17*G17)) </f>
      </c>
      <c r="J17" s="15" t="s">
        <v>38</v>
      </c>
      <c r="K17" t="s">
        <v>989</v>
      </c>
    </row>
    <row r="18" outlineLevel="1">
      <c r="A18" s="15" t="s">
        <v>990</v>
      </c>
      <c r="B18" s="15" t="s">
        <v>991</v>
      </c>
      <c r="C18" s="15" t="s">
        <v>38</v>
      </c>
      <c r="D18" s="16">
        <v>86</v>
      </c>
      <c r="E18" s="16">
        <v>94</v>
      </c>
      <c r="F18" s="16">
        <v>103</v>
      </c>
      <c r="G18" s="17">
        <v>0</v>
      </c>
      <c r="H18" s="15">
        <f>G18*F18</f>
      </c>
      <c r="I18" s="17">
        <f>IF($H$2&gt;45000, D18*G18, IF($H$2&gt;15000, E18*G18, F18*G18)) </f>
      </c>
      <c r="J18" s="15" t="s">
        <v>38</v>
      </c>
      <c r="K18" t="s">
        <v>992</v>
      </c>
    </row>
    <row r="19" outlineLevel="1">
      <c r="A19" s="15" t="s">
        <v>993</v>
      </c>
      <c r="B19" s="15" t="s">
        <v>994</v>
      </c>
      <c r="C19" s="15" t="s">
        <v>38</v>
      </c>
      <c r="D19" s="16">
        <v>77</v>
      </c>
      <c r="E19" s="16">
        <v>84</v>
      </c>
      <c r="F19" s="16">
        <v>92</v>
      </c>
      <c r="G19" s="17">
        <v>0</v>
      </c>
      <c r="H19" s="15">
        <f>G19*F19</f>
      </c>
      <c r="I19" s="17">
        <f>IF($H$2&gt;45000, D19*G19, IF($H$2&gt;15000, E19*G19, F19*G19)) </f>
      </c>
      <c r="J19" s="15" t="s">
        <v>38</v>
      </c>
      <c r="K19" t="s">
        <v>995</v>
      </c>
    </row>
    <row r="20" outlineLevel="1">
      <c r="A20" s="15" t="s">
        <v>996</v>
      </c>
      <c r="B20" s="15" t="s">
        <v>997</v>
      </c>
      <c r="C20" s="15" t="s">
        <v>38</v>
      </c>
      <c r="D20" s="16">
        <v>158</v>
      </c>
      <c r="E20" s="16">
        <v>173</v>
      </c>
      <c r="F20" s="16">
        <v>190</v>
      </c>
      <c r="G20" s="17">
        <v>0</v>
      </c>
      <c r="H20" s="15">
        <f>G20*F20</f>
      </c>
      <c r="I20" s="17">
        <f>IF($H$2&gt;45000, D20*G20, IF($H$2&gt;15000, E20*G20, F20*G20)) </f>
      </c>
      <c r="J20" s="15" t="s">
        <v>38</v>
      </c>
      <c r="K20" t="s">
        <v>998</v>
      </c>
    </row>
    <row r="21" outlineLevel="1">
      <c r="A21" s="15" t="s">
        <v>999</v>
      </c>
      <c r="B21" s="15" t="s">
        <v>1000</v>
      </c>
      <c r="C21" s="15" t="s">
        <v>38</v>
      </c>
      <c r="D21" s="16">
        <v>161</v>
      </c>
      <c r="E21" s="16">
        <v>175</v>
      </c>
      <c r="F21" s="16">
        <v>193</v>
      </c>
      <c r="G21" s="17">
        <v>0</v>
      </c>
      <c r="H21" s="15">
        <f>G21*F21</f>
      </c>
      <c r="I21" s="17">
        <f>IF($H$2&gt;45000, D21*G21, IF($H$2&gt;15000, E21*G21, F21*G21)) </f>
      </c>
      <c r="J21" s="15" t="s">
        <v>38</v>
      </c>
      <c r="K21" t="s">
        <v>1001</v>
      </c>
    </row>
    <row r="22" outlineLevel="1">
      <c r="A22" s="15" t="s">
        <v>1002</v>
      </c>
      <c r="B22" s="15" t="s">
        <v>1003</v>
      </c>
      <c r="C22" s="15" t="s">
        <v>38</v>
      </c>
      <c r="D22" s="16">
        <v>161</v>
      </c>
      <c r="E22" s="16">
        <v>175</v>
      </c>
      <c r="F22" s="16">
        <v>193</v>
      </c>
      <c r="G22" s="17">
        <v>0</v>
      </c>
      <c r="H22" s="15">
        <f>G22*F22</f>
      </c>
      <c r="I22" s="17">
        <f>IF($H$2&gt;45000, D22*G22, IF($H$2&gt;15000, E22*G22, F22*G22)) </f>
      </c>
      <c r="J22" s="15" t="s">
        <v>38</v>
      </c>
      <c r="K22" t="s">
        <v>1004</v>
      </c>
    </row>
    <row r="23" outlineLevel="1">
      <c r="A23" s="15" t="s">
        <v>1005</v>
      </c>
      <c r="B23" s="15" t="s">
        <v>1006</v>
      </c>
      <c r="C23" s="15" t="s">
        <v>38</v>
      </c>
      <c r="D23" s="16">
        <v>161</v>
      </c>
      <c r="E23" s="16">
        <v>175</v>
      </c>
      <c r="F23" s="16">
        <v>193</v>
      </c>
      <c r="G23" s="17">
        <v>0</v>
      </c>
      <c r="H23" s="15">
        <f>G23*F23</f>
      </c>
      <c r="I23" s="17">
        <f>IF($H$2&gt;45000, D23*G23, IF($H$2&gt;15000, E23*G23, F23*G23)) </f>
      </c>
      <c r="J23" s="15" t="s">
        <v>38</v>
      </c>
      <c r="K23" t="s">
        <v>1007</v>
      </c>
    </row>
    <row r="24" outlineLevel="1">
      <c r="A24" s="15" t="s">
        <v>1008</v>
      </c>
      <c r="B24" s="15" t="s">
        <v>1009</v>
      </c>
      <c r="C24" s="15" t="s">
        <v>38</v>
      </c>
      <c r="D24" s="16">
        <v>161</v>
      </c>
      <c r="E24" s="16">
        <v>175</v>
      </c>
      <c r="F24" s="16">
        <v>193</v>
      </c>
      <c r="G24" s="17">
        <v>0</v>
      </c>
      <c r="H24" s="15">
        <f>G24*F24</f>
      </c>
      <c r="I24" s="17">
        <f>IF($H$2&gt;45000, D24*G24, IF($H$2&gt;15000, E24*G24, F24*G24)) </f>
      </c>
      <c r="J24" s="15" t="s">
        <v>38</v>
      </c>
      <c r="K24" t="s">
        <v>1010</v>
      </c>
    </row>
    <row r="25" outlineLevel="1">
      <c r="A25" s="15" t="s">
        <v>1011</v>
      </c>
      <c r="B25" s="15" t="s">
        <v>1012</v>
      </c>
      <c r="C25" s="15" t="s">
        <v>38</v>
      </c>
      <c r="D25" s="16">
        <v>161</v>
      </c>
      <c r="E25" s="16">
        <v>175</v>
      </c>
      <c r="F25" s="16">
        <v>193</v>
      </c>
      <c r="G25" s="17">
        <v>0</v>
      </c>
      <c r="H25" s="15">
        <f>G25*F25</f>
      </c>
      <c r="I25" s="17">
        <f>IF($H$2&gt;45000, D25*G25, IF($H$2&gt;15000, E25*G25, F25*G25)) </f>
      </c>
      <c r="J25" s="15" t="s">
        <v>38</v>
      </c>
      <c r="K25" t="s">
        <v>1013</v>
      </c>
    </row>
    <row r="26" outlineLevel="1">
      <c r="A26" s="15" t="s">
        <v>1014</v>
      </c>
      <c r="B26" s="15" t="s">
        <v>1015</v>
      </c>
      <c r="C26" s="15" t="s">
        <v>38</v>
      </c>
      <c r="D26" s="16">
        <v>161</v>
      </c>
      <c r="E26" s="16">
        <v>175</v>
      </c>
      <c r="F26" s="16">
        <v>193</v>
      </c>
      <c r="G26" s="17">
        <v>0</v>
      </c>
      <c r="H26" s="15">
        <f>G26*F26</f>
      </c>
      <c r="I26" s="17">
        <f>IF($H$2&gt;45000, D26*G26, IF($H$2&gt;15000, E26*G26, F26*G26)) </f>
      </c>
      <c r="J26" s="15" t="s">
        <v>38</v>
      </c>
      <c r="K26" t="s">
        <v>1016</v>
      </c>
    </row>
    <row r="27" outlineLevel="1">
      <c r="A27" s="15" t="s">
        <v>1017</v>
      </c>
      <c r="B27" s="15" t="s">
        <v>1018</v>
      </c>
      <c r="C27" s="15" t="s">
        <v>38</v>
      </c>
      <c r="D27" s="16">
        <v>77</v>
      </c>
      <c r="E27" s="16">
        <v>84</v>
      </c>
      <c r="F27" s="16">
        <v>92</v>
      </c>
      <c r="G27" s="17">
        <v>0</v>
      </c>
      <c r="H27" s="15">
        <f>G27*F27</f>
      </c>
      <c r="I27" s="17">
        <f>IF($H$2&gt;45000, D27*G27, IF($H$2&gt;15000, E27*G27, F27*G27)) </f>
      </c>
      <c r="J27" s="15" t="s">
        <v>38</v>
      </c>
      <c r="K27" t="s">
        <v>1019</v>
      </c>
    </row>
    <row r="28" outlineLevel="1">
      <c r="A28" s="15" t="s">
        <v>1020</v>
      </c>
      <c r="B28" s="15" t="s">
        <v>1021</v>
      </c>
      <c r="C28" s="15" t="s">
        <v>38</v>
      </c>
      <c r="D28" s="16">
        <v>77</v>
      </c>
      <c r="E28" s="16">
        <v>84</v>
      </c>
      <c r="F28" s="16">
        <v>92</v>
      </c>
      <c r="G28" s="17">
        <v>0</v>
      </c>
      <c r="H28" s="15">
        <f>G28*F28</f>
      </c>
      <c r="I28" s="17">
        <f>IF($H$2&gt;45000, D28*G28, IF($H$2&gt;15000, E28*G28, F28*G28)) </f>
      </c>
      <c r="J28" s="15" t="s">
        <v>38</v>
      </c>
      <c r="K28" t="s">
        <v>1022</v>
      </c>
    </row>
    <row r="29" outlineLevel="1">
      <c r="A29" s="15" t="s">
        <v>1023</v>
      </c>
      <c r="B29" s="15" t="s">
        <v>1024</v>
      </c>
      <c r="C29" s="15" t="s">
        <v>38</v>
      </c>
      <c r="D29" s="16">
        <v>77</v>
      </c>
      <c r="E29" s="16">
        <v>84</v>
      </c>
      <c r="F29" s="16">
        <v>92</v>
      </c>
      <c r="G29" s="17">
        <v>0</v>
      </c>
      <c r="H29" s="15">
        <f>G29*F29</f>
      </c>
      <c r="I29" s="17">
        <f>IF($H$2&gt;45000, D29*G29, IF($H$2&gt;15000, E29*G29, F29*G29)) </f>
      </c>
      <c r="J29" s="15" t="s">
        <v>38</v>
      </c>
      <c r="K29" t="s">
        <v>1025</v>
      </c>
    </row>
    <row r="30" outlineLevel="1">
      <c r="A30" s="15" t="s">
        <v>1026</v>
      </c>
      <c r="B30" s="15" t="s">
        <v>1027</v>
      </c>
      <c r="C30" s="15" t="s">
        <v>38</v>
      </c>
      <c r="D30" s="16">
        <v>77</v>
      </c>
      <c r="E30" s="16">
        <v>84</v>
      </c>
      <c r="F30" s="16">
        <v>92</v>
      </c>
      <c r="G30" s="17">
        <v>0</v>
      </c>
      <c r="H30" s="15">
        <f>G30*F30</f>
      </c>
      <c r="I30" s="17">
        <f>IF($H$2&gt;45000, D30*G30, IF($H$2&gt;15000, E30*G30, F30*G30)) </f>
      </c>
      <c r="J30" s="15" t="s">
        <v>38</v>
      </c>
      <c r="K30" t="s">
        <v>1028</v>
      </c>
    </row>
    <row r="31">
      <c r="A31" s="18" t="s">
        <v>1029</v>
      </c>
    </row>
    <row r="32" outlineLevel="1">
      <c r="A32" s="15" t="s">
        <v>1030</v>
      </c>
      <c r="B32" s="15" t="s">
        <v>1031</v>
      </c>
      <c r="C32" s="15" t="s">
        <v>38</v>
      </c>
      <c r="D32" s="16">
        <v>100</v>
      </c>
      <c r="E32" s="16">
        <v>109</v>
      </c>
      <c r="F32" s="16">
        <v>120</v>
      </c>
      <c r="G32" s="17">
        <v>0</v>
      </c>
      <c r="H32" s="15">
        <f>G32*F32</f>
      </c>
      <c r="I32" s="17">
        <f>IF($H$2&gt;45000, D32*G32, IF($H$2&gt;15000, E32*G32, F32*G32)) </f>
      </c>
      <c r="J32" s="15" t="s">
        <v>38</v>
      </c>
      <c r="K32" t="s">
        <v>1032</v>
      </c>
    </row>
    <row r="33" outlineLevel="1">
      <c r="A33" s="15" t="s">
        <v>1033</v>
      </c>
      <c r="B33" s="15" t="s">
        <v>1034</v>
      </c>
      <c r="C33" s="15" t="s">
        <v>38</v>
      </c>
      <c r="D33" s="16">
        <v>100</v>
      </c>
      <c r="E33" s="16">
        <v>109</v>
      </c>
      <c r="F33" s="16">
        <v>120</v>
      </c>
      <c r="G33" s="17">
        <v>0</v>
      </c>
      <c r="H33" s="15">
        <f>G33*F33</f>
      </c>
      <c r="I33" s="17">
        <f>IF($H$2&gt;45000, D33*G33, IF($H$2&gt;15000, E33*G33, F33*G33)) </f>
      </c>
      <c r="J33" s="15" t="s">
        <v>38</v>
      </c>
      <c r="K33" t="s">
        <v>1035</v>
      </c>
    </row>
    <row r="34" outlineLevel="1">
      <c r="A34" s="15" t="s">
        <v>1036</v>
      </c>
      <c r="B34" s="15" t="s">
        <v>1037</v>
      </c>
      <c r="C34" s="15" t="s">
        <v>38</v>
      </c>
      <c r="D34" s="16">
        <v>114</v>
      </c>
      <c r="E34" s="16">
        <v>125</v>
      </c>
      <c r="F34" s="16">
        <v>137</v>
      </c>
      <c r="G34" s="17">
        <v>0</v>
      </c>
      <c r="H34" s="15">
        <f>G34*F34</f>
      </c>
      <c r="I34" s="17">
        <f>IF($H$2&gt;45000, D34*G34, IF($H$2&gt;15000, E34*G34, F34*G34)) </f>
      </c>
      <c r="J34" s="15" t="s">
        <v>38</v>
      </c>
      <c r="K34" t="s">
        <v>1038</v>
      </c>
    </row>
    <row r="35" outlineLevel="1">
      <c r="A35" s="15" t="s">
        <v>1039</v>
      </c>
      <c r="B35" s="15" t="s">
        <v>1040</v>
      </c>
      <c r="C35" s="15" t="s">
        <v>38</v>
      </c>
      <c r="D35" s="16">
        <v>114</v>
      </c>
      <c r="E35" s="16">
        <v>125</v>
      </c>
      <c r="F35" s="16">
        <v>137</v>
      </c>
      <c r="G35" s="17">
        <v>0</v>
      </c>
      <c r="H35" s="15">
        <f>G35*F35</f>
      </c>
      <c r="I35" s="17">
        <f>IF($H$2&gt;45000, D35*G35, IF($H$2&gt;15000, E35*G35, F35*G35)) </f>
      </c>
      <c r="J35" s="15" t="s">
        <v>38</v>
      </c>
      <c r="K35" t="s">
        <v>1041</v>
      </c>
    </row>
    <row r="36"/>
    <row r="37">
      <c r="A37" s="12" t="s">
        <v>35</v>
      </c>
    </row>
  </sheetData>
  <mergeCells count="4">
    <mergeCell ref="A4:J4"/>
    <mergeCell ref="A6:J6"/>
    <mergeCell ref="A31:J31"/>
    <mergeCell ref="A37:J37"/>
  </mergeCells>
  <hyperlinks>
    <hyperlink ref="A4" location="ОГЛАВЛЕНИЕ!A1"/>
    <hyperlink ref="A37" location="ОГЛАВЛЕНИЕ!A1"/>
  </hyperlinks>
</worksheet>
</file>

<file path=xl/worksheets/sheet7.xml><?xml version="1.0" encoding="utf-8"?>
<worksheet xmlns="http://schemas.openxmlformats.org/spreadsheetml/2006/main" xmlns:r="http://schemas.openxmlformats.org/officeDocument/2006/relationships" xmlns:mc="http://schemas.openxmlformats.org/markup-compatibility/2006">
  <sheetPr>
    <outlinePr summaryBelow="false" summaryRight="false" showOutlineSymbols="false"/>
  </sheetPr>
  <dimension ref="A1"/>
  <sheetViews>
    <sheetView workbookViewId="0"/>
  </sheetViews>
  <cols>
    <col customWidth="true" max="1" min="1" width="14"/>
    <col customWidth="true" max="2" min="2" width="39"/>
    <col customWidth="true" hidden="true" max="8" min="8" width="9.140625"/>
    <col customWidth="true" max="9" min="9" width="10"/>
    <col customWidth="true" max="10" min="10" width="25"/>
    <col customWidth="true" hidden="true" max="12" min="11" width="9.140625"/>
  </cols>
  <sheetData>
    <row r="1" hidden="true">
      <c r="A1" t="s">
        <v>22</v>
      </c>
      <c r="B1" t="s">
        <v>23</v>
      </c>
      <c r="C1" t="s">
        <v>24</v>
      </c>
      <c r="D1" t="s">
        <v>25</v>
      </c>
      <c r="E1" t="s">
        <v>26</v>
      </c>
      <c r="F1" t="s">
        <v>27</v>
      </c>
      <c r="G1" t="s">
        <v>28</v>
      </c>
      <c r="H1" t="s">
        <v>29</v>
      </c>
      <c r="I1" t="s">
        <v>30</v>
      </c>
      <c r="J1" t="s">
        <v>31</v>
      </c>
      <c r="K1" t="s">
        <v>32</v>
      </c>
      <c r="L1" t="s">
        <v>33</v>
      </c>
    </row>
    <row r="2" ht="11" customHeight="true">
      <c r="H2" s="10">
        <f>=SUM(H6:H17)</f>
        <v>0</v>
      </c>
      <c r="I2" s="11" t="s">
        <v>34</v>
      </c>
      <c r="J2" s="11">
        <f>=SUM(I6:I17)</f>
        <v>0</v>
      </c>
    </row>
    <row r="3"/>
    <row r="4">
      <c r="A4" s="12" t="s">
        <v>35</v>
      </c>
    </row>
    <row r="5" ht="20" customHeight="true">
      <c r="A5" s="13" t="s">
        <v>22</v>
      </c>
      <c r="B5" s="13" t="s">
        <v>23</v>
      </c>
      <c r="C5" s="13" t="s">
        <v>24</v>
      </c>
      <c r="D5" s="14" t="s">
        <v>25</v>
      </c>
      <c r="E5" s="14" t="s">
        <v>26</v>
      </c>
      <c r="F5" s="14" t="s">
        <v>27</v>
      </c>
      <c r="G5" s="14" t="s">
        <v>28</v>
      </c>
      <c r="H5" s="13" t="s">
        <v>29</v>
      </c>
      <c r="I5" s="14" t="s">
        <v>30</v>
      </c>
      <c r="J5" s="13" t="s">
        <v>31</v>
      </c>
    </row>
    <row r="6">
      <c r="A6" s="15" t="s">
        <v>1042</v>
      </c>
      <c r="B6" s="15" t="s">
        <v>1043</v>
      </c>
      <c r="C6" s="15" t="s">
        <v>38</v>
      </c>
      <c r="D6" s="16">
        <v>152</v>
      </c>
      <c r="E6" s="16">
        <v>166</v>
      </c>
      <c r="F6" s="16">
        <v>182</v>
      </c>
      <c r="G6" s="17">
        <v>0</v>
      </c>
      <c r="H6" s="15">
        <f>G6*F6</f>
      </c>
      <c r="I6" s="17">
        <f>IF($H$2&gt;45000, D6*G6, IF($H$2&gt;15000, E6*G6, F6*G6)) </f>
      </c>
      <c r="J6" s="15" t="s">
        <v>38</v>
      </c>
      <c r="K6" t="s">
        <v>1044</v>
      </c>
    </row>
    <row r="7">
      <c r="A7" s="15" t="s">
        <v>1045</v>
      </c>
      <c r="B7" s="15" t="s">
        <v>1046</v>
      </c>
      <c r="C7" s="15" t="s">
        <v>38</v>
      </c>
      <c r="D7" s="16">
        <v>152</v>
      </c>
      <c r="E7" s="16">
        <v>166</v>
      </c>
      <c r="F7" s="16">
        <v>182</v>
      </c>
      <c r="G7" s="17">
        <v>0</v>
      </c>
      <c r="H7" s="15">
        <f>G7*F7</f>
      </c>
      <c r="I7" s="17">
        <f>IF($H$2&gt;45000, D7*G7, IF($H$2&gt;15000, E7*G7, F7*G7)) </f>
      </c>
      <c r="J7" s="15" t="s">
        <v>38</v>
      </c>
      <c r="K7" t="s">
        <v>1047</v>
      </c>
    </row>
    <row r="8">
      <c r="A8" s="15" t="s">
        <v>1048</v>
      </c>
      <c r="B8" s="15" t="s">
        <v>1049</v>
      </c>
      <c r="C8" s="15" t="s">
        <v>38</v>
      </c>
      <c r="D8" s="16">
        <v>152</v>
      </c>
      <c r="E8" s="16">
        <v>166</v>
      </c>
      <c r="F8" s="16">
        <v>182</v>
      </c>
      <c r="G8" s="17">
        <v>0</v>
      </c>
      <c r="H8" s="15">
        <f>G8*F8</f>
      </c>
      <c r="I8" s="17">
        <f>IF($H$2&gt;45000, D8*G8, IF($H$2&gt;15000, E8*G8, F8*G8)) </f>
      </c>
      <c r="J8" s="15" t="s">
        <v>38</v>
      </c>
      <c r="K8" t="s">
        <v>1050</v>
      </c>
    </row>
    <row r="9">
      <c r="A9" s="15" t="s">
        <v>1051</v>
      </c>
      <c r="B9" s="15" t="s">
        <v>1052</v>
      </c>
      <c r="C9" s="15" t="s">
        <v>38</v>
      </c>
      <c r="D9" s="16">
        <v>152</v>
      </c>
      <c r="E9" s="16">
        <v>166</v>
      </c>
      <c r="F9" s="16">
        <v>182</v>
      </c>
      <c r="G9" s="17">
        <v>0</v>
      </c>
      <c r="H9" s="15">
        <f>G9*F9</f>
      </c>
      <c r="I9" s="17">
        <f>IF($H$2&gt;45000, D9*G9, IF($H$2&gt;15000, E9*G9, F9*G9)) </f>
      </c>
      <c r="J9" s="15" t="s">
        <v>38</v>
      </c>
      <c r="K9" t="s">
        <v>1053</v>
      </c>
    </row>
    <row r="10">
      <c r="A10" s="15" t="s">
        <v>1054</v>
      </c>
      <c r="B10" s="15" t="s">
        <v>1055</v>
      </c>
      <c r="C10" s="15" t="s">
        <v>38</v>
      </c>
      <c r="D10" s="16">
        <v>163</v>
      </c>
      <c r="E10" s="16">
        <v>178</v>
      </c>
      <c r="F10" s="16">
        <v>196</v>
      </c>
      <c r="G10" s="17">
        <v>0</v>
      </c>
      <c r="H10" s="15">
        <f>G10*F10</f>
      </c>
      <c r="I10" s="17">
        <f>IF($H$2&gt;45000, D10*G10, IF($H$2&gt;15000, E10*G10, F10*G10)) </f>
      </c>
      <c r="J10" s="15" t="s">
        <v>38</v>
      </c>
      <c r="K10" t="s">
        <v>1056</v>
      </c>
    </row>
    <row r="11">
      <c r="A11" s="15" t="s">
        <v>1057</v>
      </c>
      <c r="B11" s="15" t="s">
        <v>1058</v>
      </c>
      <c r="C11" s="15" t="s">
        <v>38</v>
      </c>
      <c r="D11" s="16">
        <v>163</v>
      </c>
      <c r="E11" s="16">
        <v>178</v>
      </c>
      <c r="F11" s="16">
        <v>196</v>
      </c>
      <c r="G11" s="17">
        <v>0</v>
      </c>
      <c r="H11" s="15">
        <f>G11*F11</f>
      </c>
      <c r="I11" s="17">
        <f>IF($H$2&gt;45000, D11*G11, IF($H$2&gt;15000, E11*G11, F11*G11)) </f>
      </c>
      <c r="J11" s="15" t="s">
        <v>38</v>
      </c>
      <c r="K11" t="s">
        <v>1059</v>
      </c>
    </row>
    <row r="12">
      <c r="A12" s="15" t="s">
        <v>1060</v>
      </c>
      <c r="B12" s="15" t="s">
        <v>1061</v>
      </c>
      <c r="C12" s="15" t="s">
        <v>38</v>
      </c>
      <c r="D12" s="16">
        <v>163</v>
      </c>
      <c r="E12" s="16">
        <v>178</v>
      </c>
      <c r="F12" s="16">
        <v>196</v>
      </c>
      <c r="G12" s="17">
        <v>0</v>
      </c>
      <c r="H12" s="15">
        <f>G12*F12</f>
      </c>
      <c r="I12" s="17">
        <f>IF($H$2&gt;45000, D12*G12, IF($H$2&gt;15000, E12*G12, F12*G12)) </f>
      </c>
      <c r="J12" s="15" t="s">
        <v>38</v>
      </c>
      <c r="K12" t="s">
        <v>1062</v>
      </c>
    </row>
    <row r="13">
      <c r="A13" s="15" t="s">
        <v>1063</v>
      </c>
      <c r="B13" s="15" t="s">
        <v>1064</v>
      </c>
      <c r="C13" s="15" t="s">
        <v>38</v>
      </c>
      <c r="D13" s="16">
        <v>163</v>
      </c>
      <c r="E13" s="16">
        <v>178</v>
      </c>
      <c r="F13" s="16">
        <v>196</v>
      </c>
      <c r="G13" s="17">
        <v>0</v>
      </c>
      <c r="H13" s="15">
        <f>G13*F13</f>
      </c>
      <c r="I13" s="17">
        <f>IF($H$2&gt;45000, D13*G13, IF($H$2&gt;15000, E13*G13, F13*G13)) </f>
      </c>
      <c r="J13" s="15" t="s">
        <v>38</v>
      </c>
      <c r="K13" t="s">
        <v>1065</v>
      </c>
    </row>
    <row r="14">
      <c r="A14" s="15" t="s">
        <v>1066</v>
      </c>
      <c r="B14" s="15" t="s">
        <v>1067</v>
      </c>
      <c r="C14" s="15" t="s">
        <v>38</v>
      </c>
      <c r="D14" s="16">
        <v>163</v>
      </c>
      <c r="E14" s="16">
        <v>178</v>
      </c>
      <c r="F14" s="16">
        <v>196</v>
      </c>
      <c r="G14" s="17">
        <v>0</v>
      </c>
      <c r="H14" s="15">
        <f>G14*F14</f>
      </c>
      <c r="I14" s="17">
        <f>IF($H$2&gt;45000, D14*G14, IF($H$2&gt;15000, E14*G14, F14*G14)) </f>
      </c>
      <c r="J14" s="15" t="s">
        <v>38</v>
      </c>
      <c r="K14" t="s">
        <v>1068</v>
      </c>
    </row>
    <row r="15">
      <c r="A15" s="15" t="s">
        <v>1069</v>
      </c>
      <c r="B15" s="15" t="s">
        <v>1070</v>
      </c>
      <c r="C15" s="15" t="s">
        <v>38</v>
      </c>
      <c r="D15" s="16">
        <v>163</v>
      </c>
      <c r="E15" s="16">
        <v>178</v>
      </c>
      <c r="F15" s="16">
        <v>196</v>
      </c>
      <c r="G15" s="17">
        <v>0</v>
      </c>
      <c r="H15" s="15">
        <f>G15*F15</f>
      </c>
      <c r="I15" s="17">
        <f>IF($H$2&gt;45000, D15*G15, IF($H$2&gt;15000, E15*G15, F15*G15)) </f>
      </c>
      <c r="J15" s="15" t="s">
        <v>38</v>
      </c>
      <c r="K15" t="s">
        <v>1071</v>
      </c>
    </row>
    <row r="16">
      <c r="A16" s="15" t="s">
        <v>1072</v>
      </c>
      <c r="B16" s="15" t="s">
        <v>1073</v>
      </c>
      <c r="C16" s="15" t="s">
        <v>38</v>
      </c>
      <c r="D16" s="16">
        <v>163</v>
      </c>
      <c r="E16" s="16">
        <v>178</v>
      </c>
      <c r="F16" s="16">
        <v>196</v>
      </c>
      <c r="G16" s="17">
        <v>0</v>
      </c>
      <c r="H16" s="15">
        <f>G16*F16</f>
      </c>
      <c r="I16" s="17">
        <f>IF($H$2&gt;45000, D16*G16, IF($H$2&gt;15000, E16*G16, F16*G16)) </f>
      </c>
      <c r="J16" s="15" t="s">
        <v>38</v>
      </c>
      <c r="K16" t="s">
        <v>1074</v>
      </c>
    </row>
    <row r="17">
      <c r="A17" s="15" t="s">
        <v>1075</v>
      </c>
      <c r="B17" s="15" t="s">
        <v>1076</v>
      </c>
      <c r="C17" s="15" t="s">
        <v>38</v>
      </c>
      <c r="D17" s="16">
        <v>163</v>
      </c>
      <c r="E17" s="16">
        <v>178</v>
      </c>
      <c r="F17" s="16">
        <v>196</v>
      </c>
      <c r="G17" s="17">
        <v>0</v>
      </c>
      <c r="H17" s="15">
        <f>G17*F17</f>
      </c>
      <c r="I17" s="17">
        <f>IF($H$2&gt;45000, D17*G17, IF($H$2&gt;15000, E17*G17, F17*G17)) </f>
      </c>
      <c r="J17" s="15" t="s">
        <v>38</v>
      </c>
      <c r="K17" t="s">
        <v>1077</v>
      </c>
    </row>
    <row r="18"/>
    <row r="19">
      <c r="A19" s="12" t="s">
        <v>35</v>
      </c>
    </row>
  </sheetData>
  <mergeCells count="2">
    <mergeCell ref="A4:J4"/>
    <mergeCell ref="A19:J19"/>
  </mergeCells>
  <hyperlinks>
    <hyperlink ref="A4" location="ОГЛАВЛЕНИЕ!A1"/>
    <hyperlink ref="A19" location="ОГЛАВЛЕНИЕ!A1"/>
  </hyperlinks>
</worksheet>
</file>

<file path=xl/worksheets/sheet8.xml><?xml version="1.0" encoding="utf-8"?>
<worksheet xmlns="http://schemas.openxmlformats.org/spreadsheetml/2006/main" xmlns:r="http://schemas.openxmlformats.org/officeDocument/2006/relationships" xmlns:mc="http://schemas.openxmlformats.org/markup-compatibility/2006">
  <sheetPr>
    <outlinePr summaryBelow="false" summaryRight="false" showOutlineSymbols="false"/>
  </sheetPr>
  <dimension ref="A1"/>
  <sheetViews>
    <sheetView workbookViewId="0"/>
  </sheetViews>
  <cols>
    <col customWidth="true" max="1" min="1" width="14"/>
    <col customWidth="true" max="2" min="2" width="39"/>
    <col customWidth="true" hidden="true" max="8" min="8" width="9.140625"/>
    <col customWidth="true" max="9" min="9" width="10"/>
    <col customWidth="true" max="10" min="10" width="25"/>
    <col customWidth="true" hidden="true" max="12" min="11" width="9.140625"/>
  </cols>
  <sheetData>
    <row r="1" hidden="true">
      <c r="A1" t="s">
        <v>22</v>
      </c>
      <c r="B1" t="s">
        <v>23</v>
      </c>
      <c r="C1" t="s">
        <v>24</v>
      </c>
      <c r="D1" t="s">
        <v>25</v>
      </c>
      <c r="E1" t="s">
        <v>26</v>
      </c>
      <c r="F1" t="s">
        <v>27</v>
      </c>
      <c r="G1" t="s">
        <v>28</v>
      </c>
      <c r="H1" t="s">
        <v>29</v>
      </c>
      <c r="I1" t="s">
        <v>30</v>
      </c>
      <c r="J1" t="s">
        <v>31</v>
      </c>
      <c r="K1" t="s">
        <v>32</v>
      </c>
      <c r="L1" t="s">
        <v>33</v>
      </c>
    </row>
    <row r="2" ht="11" customHeight="true">
      <c r="H2" s="10">
        <f>=SUM(H6:H29)</f>
        <v>0</v>
      </c>
      <c r="I2" s="11" t="s">
        <v>34</v>
      </c>
      <c r="J2" s="11">
        <f>=SUM(I6:I29)</f>
        <v>0</v>
      </c>
    </row>
    <row r="3"/>
    <row r="4">
      <c r="A4" s="12" t="s">
        <v>35</v>
      </c>
    </row>
    <row r="5" ht="20" customHeight="true">
      <c r="A5" s="13" t="s">
        <v>22</v>
      </c>
      <c r="B5" s="13" t="s">
        <v>23</v>
      </c>
      <c r="C5" s="13" t="s">
        <v>24</v>
      </c>
      <c r="D5" s="14" t="s">
        <v>25</v>
      </c>
      <c r="E5" s="14" t="s">
        <v>26</v>
      </c>
      <c r="F5" s="14" t="s">
        <v>27</v>
      </c>
      <c r="G5" s="14" t="s">
        <v>28</v>
      </c>
      <c r="H5" s="13" t="s">
        <v>29</v>
      </c>
      <c r="I5" s="14" t="s">
        <v>30</v>
      </c>
      <c r="J5" s="13" t="s">
        <v>31</v>
      </c>
    </row>
    <row r="6">
      <c r="A6" s="15" t="s">
        <v>1078</v>
      </c>
      <c r="B6" s="15" t="s">
        <v>1079</v>
      </c>
      <c r="C6" s="15" t="s">
        <v>38</v>
      </c>
      <c r="D6" s="16">
        <v>73</v>
      </c>
      <c r="E6" s="16">
        <v>79</v>
      </c>
      <c r="F6" s="16">
        <v>87</v>
      </c>
      <c r="G6" s="17">
        <v>0</v>
      </c>
      <c r="H6" s="15">
        <f>G6*F6</f>
      </c>
      <c r="I6" s="17">
        <f>IF($H$2&gt;45000, D6*G6, IF($H$2&gt;15000, E6*G6, F6*G6)) </f>
      </c>
      <c r="J6" s="15" t="s">
        <v>38</v>
      </c>
      <c r="K6" t="s">
        <v>1080</v>
      </c>
    </row>
    <row r="7">
      <c r="A7" s="15" t="s">
        <v>1081</v>
      </c>
      <c r="B7" s="15" t="s">
        <v>1082</v>
      </c>
      <c r="C7" s="15" t="s">
        <v>38</v>
      </c>
      <c r="D7" s="16">
        <v>73</v>
      </c>
      <c r="E7" s="16">
        <v>79</v>
      </c>
      <c r="F7" s="16">
        <v>87</v>
      </c>
      <c r="G7" s="17">
        <v>0</v>
      </c>
      <c r="H7" s="15">
        <f>G7*F7</f>
      </c>
      <c r="I7" s="17">
        <f>IF($H$2&gt;45000, D7*G7, IF($H$2&gt;15000, E7*G7, F7*G7)) </f>
      </c>
      <c r="J7" s="15" t="s">
        <v>38</v>
      </c>
      <c r="K7" t="s">
        <v>1083</v>
      </c>
    </row>
    <row r="8">
      <c r="A8" s="15" t="s">
        <v>1084</v>
      </c>
      <c r="B8" s="15" t="s">
        <v>1085</v>
      </c>
      <c r="C8" s="15" t="s">
        <v>38</v>
      </c>
      <c r="D8" s="16">
        <v>73</v>
      </c>
      <c r="E8" s="16">
        <v>79</v>
      </c>
      <c r="F8" s="16">
        <v>87</v>
      </c>
      <c r="G8" s="17">
        <v>0</v>
      </c>
      <c r="H8" s="15">
        <f>G8*F8</f>
      </c>
      <c r="I8" s="17">
        <f>IF($H$2&gt;45000, D8*G8, IF($H$2&gt;15000, E8*G8, F8*G8)) </f>
      </c>
      <c r="J8" s="15" t="s">
        <v>38</v>
      </c>
      <c r="K8" t="s">
        <v>1086</v>
      </c>
    </row>
    <row r="9">
      <c r="A9" s="15" t="s">
        <v>1087</v>
      </c>
      <c r="B9" s="15" t="s">
        <v>1088</v>
      </c>
      <c r="C9" s="15" t="s">
        <v>38</v>
      </c>
      <c r="D9" s="16">
        <v>73</v>
      </c>
      <c r="E9" s="16">
        <v>79</v>
      </c>
      <c r="F9" s="16">
        <v>87</v>
      </c>
      <c r="G9" s="17">
        <v>0</v>
      </c>
      <c r="H9" s="15">
        <f>G9*F9</f>
      </c>
      <c r="I9" s="17">
        <f>IF($H$2&gt;45000, D9*G9, IF($H$2&gt;15000, E9*G9, F9*G9)) </f>
      </c>
      <c r="J9" s="15" t="s">
        <v>38</v>
      </c>
      <c r="K9" t="s">
        <v>1089</v>
      </c>
    </row>
    <row r="10">
      <c r="A10" s="15" t="s">
        <v>1090</v>
      </c>
      <c r="B10" s="15" t="s">
        <v>1091</v>
      </c>
      <c r="C10" s="15" t="s">
        <v>38</v>
      </c>
      <c r="D10" s="16">
        <v>73</v>
      </c>
      <c r="E10" s="16">
        <v>79</v>
      </c>
      <c r="F10" s="16">
        <v>87</v>
      </c>
      <c r="G10" s="17">
        <v>0</v>
      </c>
      <c r="H10" s="15">
        <f>G10*F10</f>
      </c>
      <c r="I10" s="17">
        <f>IF($H$2&gt;45000, D10*G10, IF($H$2&gt;15000, E10*G10, F10*G10)) </f>
      </c>
      <c r="J10" s="15" t="s">
        <v>38</v>
      </c>
      <c r="K10" t="s">
        <v>1092</v>
      </c>
    </row>
    <row r="11">
      <c r="A11" s="15" t="s">
        <v>1093</v>
      </c>
      <c r="B11" s="15" t="s">
        <v>1094</v>
      </c>
      <c r="C11" s="15" t="s">
        <v>38</v>
      </c>
      <c r="D11" s="16">
        <v>73</v>
      </c>
      <c r="E11" s="16">
        <v>79</v>
      </c>
      <c r="F11" s="16">
        <v>87</v>
      </c>
      <c r="G11" s="17">
        <v>0</v>
      </c>
      <c r="H11" s="15">
        <f>G11*F11</f>
      </c>
      <c r="I11" s="17">
        <f>IF($H$2&gt;45000, D11*G11, IF($H$2&gt;15000, E11*G11, F11*G11)) </f>
      </c>
      <c r="J11" s="15" t="s">
        <v>38</v>
      </c>
      <c r="K11" t="s">
        <v>1095</v>
      </c>
    </row>
    <row r="12">
      <c r="A12" s="15" t="s">
        <v>1096</v>
      </c>
      <c r="B12" s="15" t="s">
        <v>1097</v>
      </c>
      <c r="C12" s="15" t="s">
        <v>38</v>
      </c>
      <c r="D12" s="16">
        <v>73</v>
      </c>
      <c r="E12" s="16">
        <v>79</v>
      </c>
      <c r="F12" s="16">
        <v>87</v>
      </c>
      <c r="G12" s="17">
        <v>0</v>
      </c>
      <c r="H12" s="15">
        <f>G12*F12</f>
      </c>
      <c r="I12" s="17">
        <f>IF($H$2&gt;45000, D12*G12, IF($H$2&gt;15000, E12*G12, F12*G12)) </f>
      </c>
      <c r="J12" s="15" t="s">
        <v>38</v>
      </c>
      <c r="K12" t="s">
        <v>1098</v>
      </c>
    </row>
    <row r="13">
      <c r="A13" s="15" t="s">
        <v>1099</v>
      </c>
      <c r="B13" s="15" t="s">
        <v>1100</v>
      </c>
      <c r="C13" s="15" t="s">
        <v>38</v>
      </c>
      <c r="D13" s="16">
        <v>73</v>
      </c>
      <c r="E13" s="16">
        <v>79</v>
      </c>
      <c r="F13" s="16">
        <v>87</v>
      </c>
      <c r="G13" s="17">
        <v>0</v>
      </c>
      <c r="H13" s="15">
        <f>G13*F13</f>
      </c>
      <c r="I13" s="17">
        <f>IF($H$2&gt;45000, D13*G13, IF($H$2&gt;15000, E13*G13, F13*G13)) </f>
      </c>
      <c r="J13" s="15" t="s">
        <v>38</v>
      </c>
      <c r="K13" t="s">
        <v>1101</v>
      </c>
    </row>
    <row r="14">
      <c r="A14" s="15" t="s">
        <v>1102</v>
      </c>
      <c r="B14" s="15" t="s">
        <v>1103</v>
      </c>
      <c r="C14" s="15" t="s">
        <v>38</v>
      </c>
      <c r="D14" s="16">
        <v>73</v>
      </c>
      <c r="E14" s="16">
        <v>79</v>
      </c>
      <c r="F14" s="16">
        <v>87</v>
      </c>
      <c r="G14" s="17">
        <v>0</v>
      </c>
      <c r="H14" s="15">
        <f>G14*F14</f>
      </c>
      <c r="I14" s="17">
        <f>IF($H$2&gt;45000, D14*G14, IF($H$2&gt;15000, E14*G14, F14*G14)) </f>
      </c>
      <c r="J14" s="15" t="s">
        <v>38</v>
      </c>
      <c r="K14" t="s">
        <v>1104</v>
      </c>
    </row>
    <row r="15">
      <c r="A15" s="15" t="s">
        <v>1105</v>
      </c>
      <c r="B15" s="15" t="s">
        <v>1106</v>
      </c>
      <c r="C15" s="15" t="s">
        <v>38</v>
      </c>
      <c r="D15" s="16">
        <v>73</v>
      </c>
      <c r="E15" s="16">
        <v>79</v>
      </c>
      <c r="F15" s="16">
        <v>87</v>
      </c>
      <c r="G15" s="17">
        <v>0</v>
      </c>
      <c r="H15" s="15">
        <f>G15*F15</f>
      </c>
      <c r="I15" s="17">
        <f>IF($H$2&gt;45000, D15*G15, IF($H$2&gt;15000, E15*G15, F15*G15)) </f>
      </c>
      <c r="J15" s="15" t="s">
        <v>38</v>
      </c>
      <c r="K15" t="s">
        <v>1107</v>
      </c>
    </row>
    <row r="16">
      <c r="A16" s="15" t="s">
        <v>1108</v>
      </c>
      <c r="B16" s="15" t="s">
        <v>1109</v>
      </c>
      <c r="C16" s="15" t="s">
        <v>38</v>
      </c>
      <c r="D16" s="16">
        <v>73</v>
      </c>
      <c r="E16" s="16">
        <v>79</v>
      </c>
      <c r="F16" s="16">
        <v>87</v>
      </c>
      <c r="G16" s="17">
        <v>0</v>
      </c>
      <c r="H16" s="15">
        <f>G16*F16</f>
      </c>
      <c r="I16" s="17">
        <f>IF($H$2&gt;45000, D16*G16, IF($H$2&gt;15000, E16*G16, F16*G16)) </f>
      </c>
      <c r="J16" s="15" t="s">
        <v>38</v>
      </c>
      <c r="K16" t="s">
        <v>1110</v>
      </c>
    </row>
    <row r="17">
      <c r="A17" s="15" t="s">
        <v>1111</v>
      </c>
      <c r="B17" s="15" t="s">
        <v>1112</v>
      </c>
      <c r="C17" s="15" t="s">
        <v>38</v>
      </c>
      <c r="D17" s="16">
        <v>73</v>
      </c>
      <c r="E17" s="16">
        <v>79</v>
      </c>
      <c r="F17" s="16">
        <v>87</v>
      </c>
      <c r="G17" s="17">
        <v>0</v>
      </c>
      <c r="H17" s="15">
        <f>G17*F17</f>
      </c>
      <c r="I17" s="17">
        <f>IF($H$2&gt;45000, D17*G17, IF($H$2&gt;15000, E17*G17, F17*G17)) </f>
      </c>
      <c r="J17" s="15" t="s">
        <v>38</v>
      </c>
      <c r="K17" t="s">
        <v>1113</v>
      </c>
    </row>
    <row r="18">
      <c r="A18" s="15" t="s">
        <v>1114</v>
      </c>
      <c r="B18" s="15" t="s">
        <v>1115</v>
      </c>
      <c r="C18" s="15" t="s">
        <v>38</v>
      </c>
      <c r="D18" s="16">
        <v>73</v>
      </c>
      <c r="E18" s="16">
        <v>79</v>
      </c>
      <c r="F18" s="16">
        <v>87</v>
      </c>
      <c r="G18" s="17">
        <v>0</v>
      </c>
      <c r="H18" s="15">
        <f>G18*F18</f>
      </c>
      <c r="I18" s="17">
        <f>IF($H$2&gt;45000, D18*G18, IF($H$2&gt;15000, E18*G18, F18*G18)) </f>
      </c>
      <c r="J18" s="15" t="s">
        <v>38</v>
      </c>
      <c r="K18" t="s">
        <v>1116</v>
      </c>
    </row>
    <row r="19">
      <c r="A19" s="15" t="s">
        <v>1117</v>
      </c>
      <c r="B19" s="15" t="s">
        <v>1118</v>
      </c>
      <c r="C19" s="15" t="s">
        <v>38</v>
      </c>
      <c r="D19" s="16">
        <v>73</v>
      </c>
      <c r="E19" s="16">
        <v>79</v>
      </c>
      <c r="F19" s="16">
        <v>87</v>
      </c>
      <c r="G19" s="17">
        <v>0</v>
      </c>
      <c r="H19" s="15">
        <f>G19*F19</f>
      </c>
      <c r="I19" s="17">
        <f>IF($H$2&gt;45000, D19*G19, IF($H$2&gt;15000, E19*G19, F19*G19)) </f>
      </c>
      <c r="J19" s="15" t="s">
        <v>38</v>
      </c>
      <c r="K19" t="s">
        <v>1119</v>
      </c>
    </row>
    <row r="20">
      <c r="A20" s="15" t="s">
        <v>1120</v>
      </c>
      <c r="B20" s="15" t="s">
        <v>1121</v>
      </c>
      <c r="C20" s="15" t="s">
        <v>38</v>
      </c>
      <c r="D20" s="16">
        <v>73</v>
      </c>
      <c r="E20" s="16">
        <v>79</v>
      </c>
      <c r="F20" s="16">
        <v>87</v>
      </c>
      <c r="G20" s="17">
        <v>0</v>
      </c>
      <c r="H20" s="15">
        <f>G20*F20</f>
      </c>
      <c r="I20" s="17">
        <f>IF($H$2&gt;45000, D20*G20, IF($H$2&gt;15000, E20*G20, F20*G20)) </f>
      </c>
      <c r="J20" s="15" t="s">
        <v>38</v>
      </c>
      <c r="K20" t="s">
        <v>1122</v>
      </c>
    </row>
    <row r="21">
      <c r="A21" s="15" t="s">
        <v>1123</v>
      </c>
      <c r="B21" s="15" t="s">
        <v>1124</v>
      </c>
      <c r="C21" s="15" t="s">
        <v>38</v>
      </c>
      <c r="D21" s="16">
        <v>73</v>
      </c>
      <c r="E21" s="16">
        <v>79</v>
      </c>
      <c r="F21" s="16">
        <v>87</v>
      </c>
      <c r="G21" s="17">
        <v>0</v>
      </c>
      <c r="H21" s="15">
        <f>G21*F21</f>
      </c>
      <c r="I21" s="17">
        <f>IF($H$2&gt;45000, D21*G21, IF($H$2&gt;15000, E21*G21, F21*G21)) </f>
      </c>
      <c r="J21" s="15" t="s">
        <v>38</v>
      </c>
      <c r="K21" t="s">
        <v>1125</v>
      </c>
    </row>
    <row r="22">
      <c r="A22" s="15" t="s">
        <v>1126</v>
      </c>
      <c r="B22" s="15" t="s">
        <v>1127</v>
      </c>
      <c r="C22" s="15" t="s">
        <v>38</v>
      </c>
      <c r="D22" s="16">
        <v>73</v>
      </c>
      <c r="E22" s="16">
        <v>79</v>
      </c>
      <c r="F22" s="16">
        <v>87</v>
      </c>
      <c r="G22" s="17">
        <v>0</v>
      </c>
      <c r="H22" s="15">
        <f>G22*F22</f>
      </c>
      <c r="I22" s="17">
        <f>IF($H$2&gt;45000, D22*G22, IF($H$2&gt;15000, E22*G22, F22*G22)) </f>
      </c>
      <c r="J22" s="15" t="s">
        <v>38</v>
      </c>
      <c r="K22" t="s">
        <v>1128</v>
      </c>
    </row>
    <row r="23">
      <c r="A23" s="15" t="s">
        <v>1129</v>
      </c>
      <c r="B23" s="15" t="s">
        <v>1130</v>
      </c>
      <c r="C23" s="15" t="s">
        <v>38</v>
      </c>
      <c r="D23" s="16">
        <v>73</v>
      </c>
      <c r="E23" s="16">
        <v>79</v>
      </c>
      <c r="F23" s="16">
        <v>87</v>
      </c>
      <c r="G23" s="17">
        <v>0</v>
      </c>
      <c r="H23" s="15">
        <f>G23*F23</f>
      </c>
      <c r="I23" s="17">
        <f>IF($H$2&gt;45000, D23*G23, IF($H$2&gt;15000, E23*G23, F23*G23)) </f>
      </c>
      <c r="J23" s="15" t="s">
        <v>38</v>
      </c>
      <c r="K23" t="s">
        <v>1131</v>
      </c>
    </row>
    <row r="24">
      <c r="A24" s="15" t="s">
        <v>1132</v>
      </c>
      <c r="B24" s="15" t="s">
        <v>1133</v>
      </c>
      <c r="C24" s="15" t="s">
        <v>38</v>
      </c>
      <c r="D24" s="16">
        <v>73</v>
      </c>
      <c r="E24" s="16">
        <v>79</v>
      </c>
      <c r="F24" s="16">
        <v>87</v>
      </c>
      <c r="G24" s="17">
        <v>0</v>
      </c>
      <c r="H24" s="15">
        <f>G24*F24</f>
      </c>
      <c r="I24" s="17">
        <f>IF($H$2&gt;45000, D24*G24, IF($H$2&gt;15000, E24*G24, F24*G24)) </f>
      </c>
      <c r="J24" s="15" t="s">
        <v>38</v>
      </c>
      <c r="K24" t="s">
        <v>1134</v>
      </c>
    </row>
    <row r="25">
      <c r="A25" s="15" t="s">
        <v>1135</v>
      </c>
      <c r="B25" s="15" t="s">
        <v>1136</v>
      </c>
      <c r="C25" s="15" t="s">
        <v>38</v>
      </c>
      <c r="D25" s="16">
        <v>73</v>
      </c>
      <c r="E25" s="16">
        <v>79</v>
      </c>
      <c r="F25" s="16">
        <v>87</v>
      </c>
      <c r="G25" s="17">
        <v>0</v>
      </c>
      <c r="H25" s="15">
        <f>G25*F25</f>
      </c>
      <c r="I25" s="17">
        <f>IF($H$2&gt;45000, D25*G25, IF($H$2&gt;15000, E25*G25, F25*G25)) </f>
      </c>
      <c r="J25" s="15" t="s">
        <v>38</v>
      </c>
      <c r="K25" t="s">
        <v>1137</v>
      </c>
    </row>
    <row r="26">
      <c r="A26" s="15" t="s">
        <v>1138</v>
      </c>
      <c r="B26" s="15" t="s">
        <v>1139</v>
      </c>
      <c r="C26" s="15" t="s">
        <v>38</v>
      </c>
      <c r="D26" s="16">
        <v>73</v>
      </c>
      <c r="E26" s="16">
        <v>79</v>
      </c>
      <c r="F26" s="16">
        <v>87</v>
      </c>
      <c r="G26" s="17">
        <v>0</v>
      </c>
      <c r="H26" s="15">
        <f>G26*F26</f>
      </c>
      <c r="I26" s="17">
        <f>IF($H$2&gt;45000, D26*G26, IF($H$2&gt;15000, E26*G26, F26*G26)) </f>
      </c>
      <c r="J26" s="15" t="s">
        <v>38</v>
      </c>
      <c r="K26" t="s">
        <v>1140</v>
      </c>
    </row>
    <row r="27">
      <c r="A27" s="15" t="s">
        <v>1141</v>
      </c>
      <c r="B27" s="15" t="s">
        <v>1142</v>
      </c>
      <c r="C27" s="15" t="s">
        <v>38</v>
      </c>
      <c r="D27" s="16">
        <v>73</v>
      </c>
      <c r="E27" s="16">
        <v>79</v>
      </c>
      <c r="F27" s="16">
        <v>87</v>
      </c>
      <c r="G27" s="17">
        <v>0</v>
      </c>
      <c r="H27" s="15">
        <f>G27*F27</f>
      </c>
      <c r="I27" s="17">
        <f>IF($H$2&gt;45000, D27*G27, IF($H$2&gt;15000, E27*G27, F27*G27)) </f>
      </c>
      <c r="J27" s="15" t="s">
        <v>38</v>
      </c>
      <c r="K27" t="s">
        <v>1143</v>
      </c>
    </row>
    <row r="28">
      <c r="A28" s="15" t="s">
        <v>1144</v>
      </c>
      <c r="B28" s="15" t="s">
        <v>1145</v>
      </c>
      <c r="C28" s="15" t="s">
        <v>38</v>
      </c>
      <c r="D28" s="16">
        <v>73</v>
      </c>
      <c r="E28" s="16">
        <v>79</v>
      </c>
      <c r="F28" s="16">
        <v>87</v>
      </c>
      <c r="G28" s="17">
        <v>0</v>
      </c>
      <c r="H28" s="15">
        <f>G28*F28</f>
      </c>
      <c r="I28" s="17">
        <f>IF($H$2&gt;45000, D28*G28, IF($H$2&gt;15000, E28*G28, F28*G28)) </f>
      </c>
      <c r="J28" s="15" t="s">
        <v>38</v>
      </c>
      <c r="K28" t="s">
        <v>1146</v>
      </c>
    </row>
    <row r="29">
      <c r="A29" s="15" t="s">
        <v>1147</v>
      </c>
      <c r="B29" s="15" t="s">
        <v>1148</v>
      </c>
      <c r="C29" s="15" t="s">
        <v>38</v>
      </c>
      <c r="D29" s="16">
        <v>73</v>
      </c>
      <c r="E29" s="16">
        <v>79</v>
      </c>
      <c r="F29" s="16">
        <v>87</v>
      </c>
      <c r="G29" s="17">
        <v>0</v>
      </c>
      <c r="H29" s="15">
        <f>G29*F29</f>
      </c>
      <c r="I29" s="17">
        <f>IF($H$2&gt;45000, D29*G29, IF($H$2&gt;15000, E29*G29, F29*G29)) </f>
      </c>
      <c r="J29" s="15" t="s">
        <v>38</v>
      </c>
      <c r="K29" t="s">
        <v>1149</v>
      </c>
    </row>
    <row r="30"/>
    <row r="31">
      <c r="A31" s="12" t="s">
        <v>35</v>
      </c>
    </row>
  </sheetData>
  <mergeCells count="2">
    <mergeCell ref="A4:J4"/>
    <mergeCell ref="A31:J31"/>
  </mergeCells>
  <hyperlinks>
    <hyperlink ref="A4" location="ОГЛАВЛЕНИЕ!A1"/>
    <hyperlink ref="A31" location="ОГЛАВЛЕНИЕ!A1"/>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outlinePr summaryBelow="false" summaryRight="false" showOutlineSymbols="false"/>
  </sheetPr>
  <dimension ref="A1"/>
  <sheetViews>
    <sheetView workbookViewId="0"/>
  </sheetViews>
  <cols>
    <col customWidth="true" max="1" min="1" width="14"/>
    <col customWidth="true" max="2" min="2" width="39"/>
    <col customWidth="true" hidden="true" max="8" min="8" width="9.140625"/>
    <col customWidth="true" max="9" min="9" width="10"/>
    <col customWidth="true" max="10" min="10" width="25"/>
    <col customWidth="true" hidden="true" max="12" min="11" width="9.140625"/>
  </cols>
  <sheetData>
    <row r="1" hidden="true">
      <c r="A1" t="s">
        <v>22</v>
      </c>
      <c r="B1" t="s">
        <v>23</v>
      </c>
      <c r="C1" t="s">
        <v>24</v>
      </c>
      <c r="D1" t="s">
        <v>25</v>
      </c>
      <c r="E1" t="s">
        <v>26</v>
      </c>
      <c r="F1" t="s">
        <v>27</v>
      </c>
      <c r="G1" t="s">
        <v>28</v>
      </c>
      <c r="H1" t="s">
        <v>29</v>
      </c>
      <c r="I1" t="s">
        <v>30</v>
      </c>
      <c r="J1" t="s">
        <v>31</v>
      </c>
      <c r="K1" t="s">
        <v>32</v>
      </c>
      <c r="L1" t="s">
        <v>33</v>
      </c>
    </row>
    <row r="2" ht="11" customHeight="true">
      <c r="H2" s="10">
        <f>=SUM(H6:H48)</f>
        <v>0</v>
      </c>
      <c r="I2" s="11" t="s">
        <v>34</v>
      </c>
      <c r="J2" s="11">
        <f>=SUM(I6:I48)</f>
        <v>0</v>
      </c>
    </row>
    <row r="3"/>
    <row r="4">
      <c r="A4" s="12" t="s">
        <v>35</v>
      </c>
    </row>
    <row r="5" ht="20" customHeight="true">
      <c r="A5" s="13" t="s">
        <v>22</v>
      </c>
      <c r="B5" s="13" t="s">
        <v>23</v>
      </c>
      <c r="C5" s="13" t="s">
        <v>24</v>
      </c>
      <c r="D5" s="14" t="s">
        <v>25</v>
      </c>
      <c r="E5" s="14" t="s">
        <v>26</v>
      </c>
      <c r="F5" s="14" t="s">
        <v>27</v>
      </c>
      <c r="G5" s="14" t="s">
        <v>28</v>
      </c>
      <c r="H5" s="13" t="s">
        <v>29</v>
      </c>
      <c r="I5" s="14" t="s">
        <v>30</v>
      </c>
      <c r="J5" s="13" t="s">
        <v>31</v>
      </c>
    </row>
    <row r="6">
      <c r="A6" s="18" t="s">
        <v>1150</v>
      </c>
    </row>
    <row r="7" outlineLevel="1">
      <c r="A7" s="15" t="s">
        <v>1151</v>
      </c>
      <c r="B7" s="15" t="s">
        <v>1152</v>
      </c>
      <c r="C7" s="15" t="s">
        <v>38</v>
      </c>
      <c r="D7" s="16">
        <v>351</v>
      </c>
      <c r="E7" s="16">
        <v>382</v>
      </c>
      <c r="F7" s="16">
        <v>421</v>
      </c>
      <c r="G7" s="17">
        <v>0</v>
      </c>
      <c r="H7" s="15">
        <f>G7*F7</f>
      </c>
      <c r="I7" s="17">
        <f>IF($H$2&gt;45000, D7*G7, IF($H$2&gt;15000, E7*G7, F7*G7)) </f>
      </c>
      <c r="J7" s="15" t="s">
        <v>38</v>
      </c>
      <c r="K7" t="s">
        <v>1153</v>
      </c>
    </row>
    <row r="8" outlineLevel="1">
      <c r="A8" s="15" t="s">
        <v>1154</v>
      </c>
      <c r="B8" s="15" t="s">
        <v>1155</v>
      </c>
      <c r="C8" s="15" t="s">
        <v>38</v>
      </c>
      <c r="D8" s="16">
        <v>229</v>
      </c>
      <c r="E8" s="16">
        <v>250</v>
      </c>
      <c r="F8" s="16">
        <v>275</v>
      </c>
      <c r="G8" s="17">
        <v>0</v>
      </c>
      <c r="H8" s="15">
        <f>G8*F8</f>
      </c>
      <c r="I8" s="17">
        <f>IF($H$2&gt;45000, D8*G8, IF($H$2&gt;15000, E8*G8, F8*G8)) </f>
      </c>
      <c r="J8" s="15" t="s">
        <v>38</v>
      </c>
      <c r="K8" t="s">
        <v>1156</v>
      </c>
    </row>
    <row r="9" outlineLevel="1">
      <c r="A9" s="15" t="s">
        <v>1157</v>
      </c>
      <c r="B9" s="15" t="s">
        <v>1158</v>
      </c>
      <c r="C9" s="15" t="s">
        <v>38</v>
      </c>
      <c r="D9" s="16">
        <v>229</v>
      </c>
      <c r="E9" s="16">
        <v>250</v>
      </c>
      <c r="F9" s="16">
        <v>275</v>
      </c>
      <c r="G9" s="17">
        <v>0</v>
      </c>
      <c r="H9" s="15">
        <f>G9*F9</f>
      </c>
      <c r="I9" s="17">
        <f>IF($H$2&gt;45000, D9*G9, IF($H$2&gt;15000, E9*G9, F9*G9)) </f>
      </c>
      <c r="J9" s="15" t="s">
        <v>38</v>
      </c>
      <c r="K9" t="s">
        <v>1159</v>
      </c>
    </row>
    <row r="10" outlineLevel="1">
      <c r="A10" s="15" t="s">
        <v>1160</v>
      </c>
      <c r="B10" s="15" t="s">
        <v>1161</v>
      </c>
      <c r="C10" s="15" t="s">
        <v>38</v>
      </c>
      <c r="D10" s="16">
        <v>229</v>
      </c>
      <c r="E10" s="16">
        <v>250</v>
      </c>
      <c r="F10" s="16">
        <v>275</v>
      </c>
      <c r="G10" s="17">
        <v>0</v>
      </c>
      <c r="H10" s="15">
        <f>G10*F10</f>
      </c>
      <c r="I10" s="17">
        <f>IF($H$2&gt;45000, D10*G10, IF($H$2&gt;15000, E10*G10, F10*G10)) </f>
      </c>
      <c r="J10" s="15" t="s">
        <v>38</v>
      </c>
      <c r="K10" t="s">
        <v>1162</v>
      </c>
    </row>
    <row r="11" outlineLevel="1">
      <c r="A11" s="15" t="s">
        <v>1163</v>
      </c>
      <c r="B11" s="15" t="s">
        <v>1164</v>
      </c>
      <c r="C11" s="15" t="s">
        <v>38</v>
      </c>
      <c r="D11" s="16">
        <v>229</v>
      </c>
      <c r="E11" s="16">
        <v>250</v>
      </c>
      <c r="F11" s="16">
        <v>275</v>
      </c>
      <c r="G11" s="17">
        <v>0</v>
      </c>
      <c r="H11" s="15">
        <f>G11*F11</f>
      </c>
      <c r="I11" s="17">
        <f>IF($H$2&gt;45000, D11*G11, IF($H$2&gt;15000, E11*G11, F11*G11)) </f>
      </c>
      <c r="J11" s="15" t="s">
        <v>38</v>
      </c>
      <c r="K11" t="s">
        <v>1165</v>
      </c>
    </row>
    <row r="12" outlineLevel="1">
      <c r="A12" s="15" t="s">
        <v>1166</v>
      </c>
      <c r="B12" s="15" t="s">
        <v>1167</v>
      </c>
      <c r="C12" s="15" t="s">
        <v>38</v>
      </c>
      <c r="D12" s="16">
        <v>229</v>
      </c>
      <c r="E12" s="16">
        <v>250</v>
      </c>
      <c r="F12" s="16">
        <v>275</v>
      </c>
      <c r="G12" s="17">
        <v>0</v>
      </c>
      <c r="H12" s="15">
        <f>G12*F12</f>
      </c>
      <c r="I12" s="17">
        <f>IF($H$2&gt;45000, D12*G12, IF($H$2&gt;15000, E12*G12, F12*G12)) </f>
      </c>
      <c r="J12" s="15" t="s">
        <v>38</v>
      </c>
      <c r="K12" t="s">
        <v>1168</v>
      </c>
    </row>
    <row r="13" outlineLevel="1">
      <c r="A13" s="15" t="s">
        <v>1169</v>
      </c>
      <c r="B13" s="15" t="s">
        <v>1170</v>
      </c>
      <c r="C13" s="15" t="s">
        <v>38</v>
      </c>
      <c r="D13" s="16">
        <v>229</v>
      </c>
      <c r="E13" s="16">
        <v>250</v>
      </c>
      <c r="F13" s="16">
        <v>275</v>
      </c>
      <c r="G13" s="17">
        <v>0</v>
      </c>
      <c r="H13" s="15">
        <f>G13*F13</f>
      </c>
      <c r="I13" s="17">
        <f>IF($H$2&gt;45000, D13*G13, IF($H$2&gt;15000, E13*G13, F13*G13)) </f>
      </c>
      <c r="J13" s="15" t="s">
        <v>38</v>
      </c>
      <c r="K13" t="s">
        <v>1171</v>
      </c>
    </row>
    <row r="14" outlineLevel="1">
      <c r="A14" s="15" t="s">
        <v>1172</v>
      </c>
      <c r="B14" s="15" t="s">
        <v>1173</v>
      </c>
      <c r="C14" s="15" t="s">
        <v>38</v>
      </c>
      <c r="D14" s="16">
        <v>229</v>
      </c>
      <c r="E14" s="16">
        <v>250</v>
      </c>
      <c r="F14" s="16">
        <v>275</v>
      </c>
      <c r="G14" s="17">
        <v>0</v>
      </c>
      <c r="H14" s="15">
        <f>G14*F14</f>
      </c>
      <c r="I14" s="17">
        <f>IF($H$2&gt;45000, D14*G14, IF($H$2&gt;15000, E14*G14, F14*G14)) </f>
      </c>
      <c r="J14" s="15" t="s">
        <v>38</v>
      </c>
      <c r="K14" t="s">
        <v>1174</v>
      </c>
    </row>
    <row r="15" outlineLevel="1">
      <c r="A15" s="15" t="s">
        <v>1175</v>
      </c>
      <c r="B15" s="15" t="s">
        <v>1176</v>
      </c>
      <c r="C15" s="15" t="s">
        <v>38</v>
      </c>
      <c r="D15" s="16">
        <v>229</v>
      </c>
      <c r="E15" s="16">
        <v>250</v>
      </c>
      <c r="F15" s="16">
        <v>275</v>
      </c>
      <c r="G15" s="17">
        <v>0</v>
      </c>
      <c r="H15" s="15">
        <f>G15*F15</f>
      </c>
      <c r="I15" s="17">
        <f>IF($H$2&gt;45000, D15*G15, IF($H$2&gt;15000, E15*G15, F15*G15)) </f>
      </c>
      <c r="J15" s="15" t="s">
        <v>38</v>
      </c>
      <c r="K15" t="s">
        <v>1177</v>
      </c>
    </row>
    <row r="16" outlineLevel="1">
      <c r="A16" s="15" t="s">
        <v>1178</v>
      </c>
      <c r="B16" s="15" t="s">
        <v>1179</v>
      </c>
      <c r="C16" s="15" t="s">
        <v>38</v>
      </c>
      <c r="D16" s="16">
        <v>229</v>
      </c>
      <c r="E16" s="16">
        <v>250</v>
      </c>
      <c r="F16" s="16">
        <v>275</v>
      </c>
      <c r="G16" s="17">
        <v>0</v>
      </c>
      <c r="H16" s="15">
        <f>G16*F16</f>
      </c>
      <c r="I16" s="17">
        <f>IF($H$2&gt;45000, D16*G16, IF($H$2&gt;15000, E16*G16, F16*G16)) </f>
      </c>
      <c r="J16" s="15" t="s">
        <v>38</v>
      </c>
      <c r="K16" t="s">
        <v>1180</v>
      </c>
    </row>
    <row r="17" outlineLevel="1">
      <c r="A17" s="15" t="s">
        <v>1181</v>
      </c>
      <c r="B17" s="15" t="s">
        <v>1182</v>
      </c>
      <c r="C17" s="15" t="s">
        <v>38</v>
      </c>
      <c r="D17" s="16">
        <v>229</v>
      </c>
      <c r="E17" s="16">
        <v>250</v>
      </c>
      <c r="F17" s="16">
        <v>275</v>
      </c>
      <c r="G17" s="17">
        <v>0</v>
      </c>
      <c r="H17" s="15">
        <f>G17*F17</f>
      </c>
      <c r="I17" s="17">
        <f>IF($H$2&gt;45000, D17*G17, IF($H$2&gt;15000, E17*G17, F17*G17)) </f>
      </c>
      <c r="J17" s="15" t="s">
        <v>38</v>
      </c>
      <c r="K17" t="s">
        <v>1183</v>
      </c>
    </row>
    <row r="18" outlineLevel="1">
      <c r="A18" s="15" t="s">
        <v>1184</v>
      </c>
      <c r="B18" s="15" t="s">
        <v>1185</v>
      </c>
      <c r="C18" s="15" t="s">
        <v>38</v>
      </c>
      <c r="D18" s="16">
        <v>170</v>
      </c>
      <c r="E18" s="16">
        <v>185</v>
      </c>
      <c r="F18" s="16">
        <v>204</v>
      </c>
      <c r="G18" s="17">
        <v>0</v>
      </c>
      <c r="H18" s="15">
        <f>G18*F18</f>
      </c>
      <c r="I18" s="17">
        <f>IF($H$2&gt;45000, D18*G18, IF($H$2&gt;15000, E18*G18, F18*G18)) </f>
      </c>
      <c r="J18" s="15" t="s">
        <v>38</v>
      </c>
      <c r="K18" t="s">
        <v>1186</v>
      </c>
    </row>
    <row r="19" outlineLevel="1">
      <c r="A19" s="15" t="s">
        <v>1187</v>
      </c>
      <c r="B19" s="15" t="s">
        <v>1188</v>
      </c>
      <c r="C19" s="15" t="s">
        <v>38</v>
      </c>
      <c r="D19" s="16">
        <v>133</v>
      </c>
      <c r="E19" s="16">
        <v>145</v>
      </c>
      <c r="F19" s="16">
        <v>160</v>
      </c>
      <c r="G19" s="17">
        <v>0</v>
      </c>
      <c r="H19" s="15">
        <f>G19*F19</f>
      </c>
      <c r="I19" s="17">
        <f>IF($H$2&gt;45000, D19*G19, IF($H$2&gt;15000, E19*G19, F19*G19)) </f>
      </c>
      <c r="J19" s="15" t="s">
        <v>38</v>
      </c>
      <c r="K19" t="s">
        <v>1189</v>
      </c>
    </row>
    <row r="20" outlineLevel="1">
      <c r="A20" s="15" t="s">
        <v>1190</v>
      </c>
      <c r="B20" s="15" t="s">
        <v>1191</v>
      </c>
      <c r="C20" s="15" t="s">
        <v>38</v>
      </c>
      <c r="D20" s="16">
        <v>133</v>
      </c>
      <c r="E20" s="16">
        <v>145</v>
      </c>
      <c r="F20" s="16">
        <v>160</v>
      </c>
      <c r="G20" s="17">
        <v>0</v>
      </c>
      <c r="H20" s="15">
        <f>G20*F20</f>
      </c>
      <c r="I20" s="17">
        <f>IF($H$2&gt;45000, D20*G20, IF($H$2&gt;15000, E20*G20, F20*G20)) </f>
      </c>
      <c r="J20" s="15" t="s">
        <v>38</v>
      </c>
      <c r="K20" t="s">
        <v>1192</v>
      </c>
    </row>
    <row r="21" outlineLevel="1">
      <c r="A21" s="15" t="s">
        <v>1193</v>
      </c>
      <c r="B21" s="15" t="s">
        <v>1194</v>
      </c>
      <c r="C21" s="15" t="s">
        <v>38</v>
      </c>
      <c r="D21" s="16">
        <v>133</v>
      </c>
      <c r="E21" s="16">
        <v>145</v>
      </c>
      <c r="F21" s="16">
        <v>160</v>
      </c>
      <c r="G21" s="17">
        <v>0</v>
      </c>
      <c r="H21" s="15">
        <f>G21*F21</f>
      </c>
      <c r="I21" s="17">
        <f>IF($H$2&gt;45000, D21*G21, IF($H$2&gt;15000, E21*G21, F21*G21)) </f>
      </c>
      <c r="J21" s="15" t="s">
        <v>38</v>
      </c>
      <c r="K21" t="s">
        <v>1195</v>
      </c>
    </row>
    <row r="22" outlineLevel="1">
      <c r="A22" s="15" t="s">
        <v>1196</v>
      </c>
      <c r="B22" s="15" t="s">
        <v>1197</v>
      </c>
      <c r="C22" s="15" t="s">
        <v>38</v>
      </c>
      <c r="D22" s="16">
        <v>103</v>
      </c>
      <c r="E22" s="16">
        <v>113</v>
      </c>
      <c r="F22" s="16">
        <v>124</v>
      </c>
      <c r="G22" s="17">
        <v>0</v>
      </c>
      <c r="H22" s="15">
        <f>G22*F22</f>
      </c>
      <c r="I22" s="17">
        <f>IF($H$2&gt;45000, D22*G22, IF($H$2&gt;15000, E22*G22, F22*G22)) </f>
      </c>
      <c r="J22" s="15" t="s">
        <v>38</v>
      </c>
      <c r="K22" t="s">
        <v>1198</v>
      </c>
    </row>
    <row r="23" outlineLevel="1">
      <c r="A23" s="15" t="s">
        <v>1199</v>
      </c>
      <c r="B23" s="15" t="s">
        <v>1200</v>
      </c>
      <c r="C23" s="15" t="s">
        <v>38</v>
      </c>
      <c r="D23" s="16">
        <v>103</v>
      </c>
      <c r="E23" s="16">
        <v>113</v>
      </c>
      <c r="F23" s="16">
        <v>124</v>
      </c>
      <c r="G23" s="17">
        <v>0</v>
      </c>
      <c r="H23" s="15">
        <f>G23*F23</f>
      </c>
      <c r="I23" s="17">
        <f>IF($H$2&gt;45000, D23*G23, IF($H$2&gt;15000, E23*G23, F23*G23)) </f>
      </c>
      <c r="J23" s="15" t="s">
        <v>38</v>
      </c>
      <c r="K23" t="s">
        <v>1201</v>
      </c>
    </row>
    <row r="24" outlineLevel="1">
      <c r="A24" s="15" t="s">
        <v>1202</v>
      </c>
      <c r="B24" s="15" t="s">
        <v>1203</v>
      </c>
      <c r="C24" s="15" t="s">
        <v>38</v>
      </c>
      <c r="D24" s="16">
        <v>103</v>
      </c>
      <c r="E24" s="16">
        <v>113</v>
      </c>
      <c r="F24" s="16">
        <v>124</v>
      </c>
      <c r="G24" s="17">
        <v>0</v>
      </c>
      <c r="H24" s="15">
        <f>G24*F24</f>
      </c>
      <c r="I24" s="17">
        <f>IF($H$2&gt;45000, D24*G24, IF($H$2&gt;15000, E24*G24, F24*G24)) </f>
      </c>
      <c r="J24" s="15" t="s">
        <v>38</v>
      </c>
      <c r="K24" t="s">
        <v>1204</v>
      </c>
    </row>
    <row r="25" outlineLevel="1">
      <c r="A25" s="15" t="s">
        <v>1205</v>
      </c>
      <c r="B25" s="15" t="s">
        <v>1206</v>
      </c>
      <c r="C25" s="15" t="s">
        <v>38</v>
      </c>
      <c r="D25" s="16">
        <v>161</v>
      </c>
      <c r="E25" s="16">
        <v>176</v>
      </c>
      <c r="F25" s="16">
        <v>193</v>
      </c>
      <c r="G25" s="17">
        <v>0</v>
      </c>
      <c r="H25" s="15">
        <f>G25*F25</f>
      </c>
      <c r="I25" s="17">
        <f>IF($H$2&gt;45000, D25*G25, IF($H$2&gt;15000, E25*G25, F25*G25)) </f>
      </c>
      <c r="J25" s="15" t="s">
        <v>38</v>
      </c>
      <c r="K25" t="s">
        <v>1207</v>
      </c>
    </row>
    <row r="26" outlineLevel="1">
      <c r="A26" s="15" t="s">
        <v>1208</v>
      </c>
      <c r="B26" s="15" t="s">
        <v>1209</v>
      </c>
      <c r="C26" s="15" t="s">
        <v>38</v>
      </c>
      <c r="D26" s="16">
        <v>133</v>
      </c>
      <c r="E26" s="16">
        <v>145</v>
      </c>
      <c r="F26" s="16">
        <v>160</v>
      </c>
      <c r="G26" s="17">
        <v>0</v>
      </c>
      <c r="H26" s="15">
        <f>G26*F26</f>
      </c>
      <c r="I26" s="17">
        <f>IF($H$2&gt;45000, D26*G26, IF($H$2&gt;15000, E26*G26, F26*G26)) </f>
      </c>
      <c r="J26" s="15" t="s">
        <v>38</v>
      </c>
      <c r="K26" t="s">
        <v>1210</v>
      </c>
    </row>
    <row r="27" outlineLevel="1">
      <c r="A27" s="15" t="s">
        <v>1211</v>
      </c>
      <c r="B27" s="15" t="s">
        <v>1212</v>
      </c>
      <c r="C27" s="15" t="s">
        <v>38</v>
      </c>
      <c r="D27" s="16">
        <v>138</v>
      </c>
      <c r="E27" s="16">
        <v>150</v>
      </c>
      <c r="F27" s="16">
        <v>165</v>
      </c>
      <c r="G27" s="17">
        <v>0</v>
      </c>
      <c r="H27" s="15">
        <f>G27*F27</f>
      </c>
      <c r="I27" s="17">
        <f>IF($H$2&gt;45000, D27*G27, IF($H$2&gt;15000, E27*G27, F27*G27)) </f>
      </c>
      <c r="J27" s="15" t="s">
        <v>38</v>
      </c>
      <c r="K27" t="s">
        <v>1213</v>
      </c>
    </row>
    <row r="28" outlineLevel="1">
      <c r="A28" s="15" t="s">
        <v>1214</v>
      </c>
      <c r="B28" s="15" t="s">
        <v>1215</v>
      </c>
      <c r="C28" s="15" t="s">
        <v>38</v>
      </c>
      <c r="D28" s="16">
        <v>215</v>
      </c>
      <c r="E28" s="16">
        <v>234</v>
      </c>
      <c r="F28" s="16">
        <v>258</v>
      </c>
      <c r="G28" s="17">
        <v>0</v>
      </c>
      <c r="H28" s="15">
        <f>G28*F28</f>
      </c>
      <c r="I28" s="17">
        <f>IF($H$2&gt;45000, D28*G28, IF($H$2&gt;15000, E28*G28, F28*G28)) </f>
      </c>
      <c r="J28" s="15" t="s">
        <v>38</v>
      </c>
      <c r="K28" t="s">
        <v>1216</v>
      </c>
    </row>
    <row r="29" outlineLevel="1">
      <c r="A29" s="15" t="s">
        <v>1217</v>
      </c>
      <c r="B29" s="15" t="s">
        <v>1218</v>
      </c>
      <c r="C29" s="15" t="s">
        <v>38</v>
      </c>
      <c r="D29" s="16">
        <v>229</v>
      </c>
      <c r="E29" s="16">
        <v>250</v>
      </c>
      <c r="F29" s="16">
        <v>275</v>
      </c>
      <c r="G29" s="17">
        <v>0</v>
      </c>
      <c r="H29" s="15">
        <f>G29*F29</f>
      </c>
      <c r="I29" s="17">
        <f>IF($H$2&gt;45000, D29*G29, IF($H$2&gt;15000, E29*G29, F29*G29)) </f>
      </c>
      <c r="J29" s="15" t="s">
        <v>38</v>
      </c>
      <c r="K29" t="s">
        <v>1219</v>
      </c>
    </row>
    <row r="30" outlineLevel="1">
      <c r="A30" s="15" t="s">
        <v>1220</v>
      </c>
      <c r="B30" s="15" t="s">
        <v>1221</v>
      </c>
      <c r="C30" s="15" t="s">
        <v>38</v>
      </c>
      <c r="D30" s="16">
        <v>229</v>
      </c>
      <c r="E30" s="16">
        <v>250</v>
      </c>
      <c r="F30" s="16">
        <v>275</v>
      </c>
      <c r="G30" s="17">
        <v>0</v>
      </c>
      <c r="H30" s="15">
        <f>G30*F30</f>
      </c>
      <c r="I30" s="17">
        <f>IF($H$2&gt;45000, D30*G30, IF($H$2&gt;15000, E30*G30, F30*G30)) </f>
      </c>
      <c r="J30" s="15" t="s">
        <v>38</v>
      </c>
      <c r="K30" t="s">
        <v>1222</v>
      </c>
    </row>
    <row r="31" outlineLevel="1">
      <c r="A31" s="15" t="s">
        <v>1223</v>
      </c>
      <c r="B31" s="15" t="s">
        <v>1224</v>
      </c>
      <c r="C31" s="15" t="s">
        <v>38</v>
      </c>
      <c r="D31" s="16">
        <v>252</v>
      </c>
      <c r="E31" s="16">
        <v>275</v>
      </c>
      <c r="F31" s="16">
        <v>303</v>
      </c>
      <c r="G31" s="17">
        <v>0</v>
      </c>
      <c r="H31" s="15">
        <f>G31*F31</f>
      </c>
      <c r="I31" s="17">
        <f>IF($H$2&gt;45000, D31*G31, IF($H$2&gt;15000, E31*G31, F31*G31)) </f>
      </c>
      <c r="J31" s="15" t="s">
        <v>38</v>
      </c>
      <c r="K31" t="s">
        <v>1225</v>
      </c>
    </row>
    <row r="32" outlineLevel="1">
      <c r="A32" s="15" t="s">
        <v>1226</v>
      </c>
      <c r="B32" s="15" t="s">
        <v>1227</v>
      </c>
      <c r="C32" s="15" t="s">
        <v>38</v>
      </c>
      <c r="D32" s="16">
        <v>229</v>
      </c>
      <c r="E32" s="16">
        <v>250</v>
      </c>
      <c r="F32" s="16">
        <v>275</v>
      </c>
      <c r="G32" s="17">
        <v>0</v>
      </c>
      <c r="H32" s="15">
        <f>G32*F32</f>
      </c>
      <c r="I32" s="17">
        <f>IF($H$2&gt;45000, D32*G32, IF($H$2&gt;15000, E32*G32, F32*G32)) </f>
      </c>
      <c r="J32" s="15" t="s">
        <v>38</v>
      </c>
      <c r="K32" t="s">
        <v>1228</v>
      </c>
    </row>
    <row r="33" outlineLevel="1">
      <c r="A33" s="15" t="s">
        <v>1229</v>
      </c>
      <c r="B33" s="15" t="s">
        <v>1230</v>
      </c>
      <c r="C33" s="15" t="s">
        <v>38</v>
      </c>
      <c r="D33" s="16">
        <v>229</v>
      </c>
      <c r="E33" s="16">
        <v>250</v>
      </c>
      <c r="F33" s="16">
        <v>275</v>
      </c>
      <c r="G33" s="17">
        <v>0</v>
      </c>
      <c r="H33" s="15">
        <f>G33*F33</f>
      </c>
      <c r="I33" s="17">
        <f>IF($H$2&gt;45000, D33*G33, IF($H$2&gt;15000, E33*G33, F33*G33)) </f>
      </c>
      <c r="J33" s="15" t="s">
        <v>38</v>
      </c>
      <c r="K33" t="s">
        <v>1231</v>
      </c>
    </row>
    <row r="34" outlineLevel="1">
      <c r="A34" s="15" t="s">
        <v>1232</v>
      </c>
      <c r="B34" s="15" t="s">
        <v>1233</v>
      </c>
      <c r="C34" s="15" t="s">
        <v>38</v>
      </c>
      <c r="D34" s="16">
        <v>229</v>
      </c>
      <c r="E34" s="16">
        <v>250</v>
      </c>
      <c r="F34" s="16">
        <v>275</v>
      </c>
      <c r="G34" s="17">
        <v>0</v>
      </c>
      <c r="H34" s="15">
        <f>G34*F34</f>
      </c>
      <c r="I34" s="17">
        <f>IF($H$2&gt;45000, D34*G34, IF($H$2&gt;15000, E34*G34, F34*G34)) </f>
      </c>
      <c r="J34" s="15" t="s">
        <v>38</v>
      </c>
      <c r="K34" t="s">
        <v>1234</v>
      </c>
    </row>
    <row r="35" outlineLevel="1">
      <c r="A35" s="15" t="s">
        <v>1235</v>
      </c>
      <c r="B35" s="15" t="s">
        <v>1236</v>
      </c>
      <c r="C35" s="15" t="s">
        <v>38</v>
      </c>
      <c r="D35" s="16">
        <v>170</v>
      </c>
      <c r="E35" s="16">
        <v>185</v>
      </c>
      <c r="F35" s="16">
        <v>204</v>
      </c>
      <c r="G35" s="17">
        <v>0</v>
      </c>
      <c r="H35" s="15">
        <f>G35*F35</f>
      </c>
      <c r="I35" s="17">
        <f>IF($H$2&gt;45000, D35*G35, IF($H$2&gt;15000, E35*G35, F35*G35)) </f>
      </c>
      <c r="J35" s="15" t="s">
        <v>38</v>
      </c>
      <c r="K35" t="s">
        <v>1237</v>
      </c>
    </row>
    <row r="36" outlineLevel="1">
      <c r="A36" s="15" t="s">
        <v>1238</v>
      </c>
      <c r="B36" s="15" t="s">
        <v>1239</v>
      </c>
      <c r="C36" s="15" t="s">
        <v>38</v>
      </c>
      <c r="D36" s="16">
        <v>170</v>
      </c>
      <c r="E36" s="16">
        <v>185</v>
      </c>
      <c r="F36" s="16">
        <v>204</v>
      </c>
      <c r="G36" s="17">
        <v>0</v>
      </c>
      <c r="H36" s="15">
        <f>G36*F36</f>
      </c>
      <c r="I36" s="17">
        <f>IF($H$2&gt;45000, D36*G36, IF($H$2&gt;15000, E36*G36, F36*G36)) </f>
      </c>
      <c r="J36" s="15" t="s">
        <v>38</v>
      </c>
      <c r="K36" t="s">
        <v>1240</v>
      </c>
    </row>
    <row r="37" outlineLevel="1">
      <c r="A37" s="15" t="s">
        <v>1241</v>
      </c>
      <c r="B37" s="15" t="s">
        <v>1242</v>
      </c>
      <c r="C37" s="15" t="s">
        <v>38</v>
      </c>
      <c r="D37" s="16">
        <v>170</v>
      </c>
      <c r="E37" s="16">
        <v>185</v>
      </c>
      <c r="F37" s="16">
        <v>204</v>
      </c>
      <c r="G37" s="17">
        <v>0</v>
      </c>
      <c r="H37" s="15">
        <f>G37*F37</f>
      </c>
      <c r="I37" s="17">
        <f>IF($H$2&gt;45000, D37*G37, IF($H$2&gt;15000, E37*G37, F37*G37)) </f>
      </c>
      <c r="J37" s="15" t="s">
        <v>38</v>
      </c>
      <c r="K37" t="s">
        <v>1243</v>
      </c>
    </row>
    <row r="38" outlineLevel="1">
      <c r="A38" s="15" t="s">
        <v>1244</v>
      </c>
      <c r="B38" s="15" t="s">
        <v>1245</v>
      </c>
      <c r="C38" s="15" t="s">
        <v>38</v>
      </c>
      <c r="D38" s="16">
        <v>170</v>
      </c>
      <c r="E38" s="16">
        <v>185</v>
      </c>
      <c r="F38" s="16">
        <v>204</v>
      </c>
      <c r="G38" s="17">
        <v>0</v>
      </c>
      <c r="H38" s="15">
        <f>G38*F38</f>
      </c>
      <c r="I38" s="17">
        <f>IF($H$2&gt;45000, D38*G38, IF($H$2&gt;15000, E38*G38, F38*G38)) </f>
      </c>
      <c r="J38" s="15" t="s">
        <v>38</v>
      </c>
      <c r="K38" t="s">
        <v>1246</v>
      </c>
    </row>
    <row r="39" outlineLevel="1">
      <c r="A39" s="15" t="s">
        <v>1247</v>
      </c>
      <c r="B39" s="15" t="s">
        <v>1248</v>
      </c>
      <c r="C39" s="15" t="s">
        <v>38</v>
      </c>
      <c r="D39" s="16">
        <v>229</v>
      </c>
      <c r="E39" s="16">
        <v>250</v>
      </c>
      <c r="F39" s="16">
        <v>275</v>
      </c>
      <c r="G39" s="17">
        <v>0</v>
      </c>
      <c r="H39" s="15">
        <f>G39*F39</f>
      </c>
      <c r="I39" s="17">
        <f>IF($H$2&gt;45000, D39*G39, IF($H$2&gt;15000, E39*G39, F39*G39)) </f>
      </c>
      <c r="J39" s="15" t="s">
        <v>38</v>
      </c>
      <c r="K39" t="s">
        <v>1249</v>
      </c>
    </row>
    <row r="40" outlineLevel="1">
      <c r="A40" s="15" t="s">
        <v>1250</v>
      </c>
      <c r="B40" s="15" t="s">
        <v>1251</v>
      </c>
      <c r="C40" s="15" t="s">
        <v>38</v>
      </c>
      <c r="D40" s="16">
        <v>170</v>
      </c>
      <c r="E40" s="16">
        <v>185</v>
      </c>
      <c r="F40" s="16">
        <v>204</v>
      </c>
      <c r="G40" s="17">
        <v>0</v>
      </c>
      <c r="H40" s="15">
        <f>G40*F40</f>
      </c>
      <c r="I40" s="17">
        <f>IF($H$2&gt;45000, D40*G40, IF($H$2&gt;15000, E40*G40, F40*G40)) </f>
      </c>
      <c r="J40" s="15" t="s">
        <v>38</v>
      </c>
      <c r="K40" t="s">
        <v>1252</v>
      </c>
    </row>
    <row r="41" outlineLevel="1">
      <c r="A41" s="15" t="s">
        <v>1253</v>
      </c>
      <c r="B41" s="15" t="s">
        <v>1254</v>
      </c>
      <c r="C41" s="15" t="s">
        <v>38</v>
      </c>
      <c r="D41" s="16">
        <v>170</v>
      </c>
      <c r="E41" s="16">
        <v>185</v>
      </c>
      <c r="F41" s="16">
        <v>204</v>
      </c>
      <c r="G41" s="17">
        <v>0</v>
      </c>
      <c r="H41" s="15">
        <f>G41*F41</f>
      </c>
      <c r="I41" s="17">
        <f>IF($H$2&gt;45000, D41*G41, IF($H$2&gt;15000, E41*G41, F41*G41)) </f>
      </c>
      <c r="J41" s="15" t="s">
        <v>38</v>
      </c>
      <c r="K41" t="s">
        <v>1255</v>
      </c>
    </row>
    <row r="42" outlineLevel="1">
      <c r="A42" s="15" t="s">
        <v>1256</v>
      </c>
      <c r="B42" s="15" t="s">
        <v>1257</v>
      </c>
      <c r="C42" s="15" t="s">
        <v>38</v>
      </c>
      <c r="D42" s="16">
        <v>229</v>
      </c>
      <c r="E42" s="16">
        <v>250</v>
      </c>
      <c r="F42" s="16">
        <v>275</v>
      </c>
      <c r="G42" s="17">
        <v>0</v>
      </c>
      <c r="H42" s="15">
        <f>G42*F42</f>
      </c>
      <c r="I42" s="17">
        <f>IF($H$2&gt;45000, D42*G42, IF($H$2&gt;15000, E42*G42, F42*G42)) </f>
      </c>
      <c r="J42" s="15" t="s">
        <v>38</v>
      </c>
      <c r="K42" t="s">
        <v>1258</v>
      </c>
    </row>
    <row r="43" outlineLevel="1">
      <c r="A43" s="15" t="s">
        <v>1259</v>
      </c>
      <c r="B43" s="15" t="s">
        <v>1260</v>
      </c>
      <c r="C43" s="15" t="s">
        <v>38</v>
      </c>
      <c r="D43" s="16">
        <v>229</v>
      </c>
      <c r="E43" s="16">
        <v>250</v>
      </c>
      <c r="F43" s="16">
        <v>275</v>
      </c>
      <c r="G43" s="17">
        <v>0</v>
      </c>
      <c r="H43" s="15">
        <f>G43*F43</f>
      </c>
      <c r="I43" s="17">
        <f>IF($H$2&gt;45000, D43*G43, IF($H$2&gt;15000, E43*G43, F43*G43)) </f>
      </c>
      <c r="J43" s="15" t="s">
        <v>38</v>
      </c>
      <c r="K43" t="s">
        <v>1261</v>
      </c>
    </row>
    <row r="44" outlineLevel="1">
      <c r="A44" s="15" t="s">
        <v>1262</v>
      </c>
      <c r="B44" s="15" t="s">
        <v>1263</v>
      </c>
      <c r="C44" s="15" t="s">
        <v>38</v>
      </c>
      <c r="D44" s="16">
        <v>229</v>
      </c>
      <c r="E44" s="16">
        <v>250</v>
      </c>
      <c r="F44" s="16">
        <v>275</v>
      </c>
      <c r="G44" s="17">
        <v>0</v>
      </c>
      <c r="H44" s="15">
        <f>G44*F44</f>
      </c>
      <c r="I44" s="17">
        <f>IF($H$2&gt;45000, D44*G44, IF($H$2&gt;15000, E44*G44, F44*G44)) </f>
      </c>
      <c r="J44" s="15" t="s">
        <v>38</v>
      </c>
      <c r="K44" t="s">
        <v>1264</v>
      </c>
    </row>
    <row r="45" outlineLevel="1">
      <c r="A45" s="15" t="s">
        <v>1265</v>
      </c>
      <c r="B45" s="15" t="s">
        <v>1266</v>
      </c>
      <c r="C45" s="15" t="s">
        <v>38</v>
      </c>
      <c r="D45" s="16">
        <v>351</v>
      </c>
      <c r="E45" s="16">
        <v>382</v>
      </c>
      <c r="F45" s="16">
        <v>421</v>
      </c>
      <c r="G45" s="17">
        <v>0</v>
      </c>
      <c r="H45" s="15">
        <f>G45*F45</f>
      </c>
      <c r="I45" s="17">
        <f>IF($H$2&gt;45000, D45*G45, IF($H$2&gt;15000, E45*G45, F45*G45)) </f>
      </c>
      <c r="J45" s="15" t="s">
        <v>38</v>
      </c>
      <c r="K45" t="s">
        <v>1267</v>
      </c>
    </row>
    <row r="46" outlineLevel="1">
      <c r="A46" s="15" t="s">
        <v>1268</v>
      </c>
      <c r="B46" s="15" t="s">
        <v>1269</v>
      </c>
      <c r="C46" s="15" t="s">
        <v>38</v>
      </c>
      <c r="D46" s="16">
        <v>376</v>
      </c>
      <c r="E46" s="16">
        <v>410</v>
      </c>
      <c r="F46" s="16">
        <v>451</v>
      </c>
      <c r="G46" s="17">
        <v>0</v>
      </c>
      <c r="H46" s="15">
        <f>G46*F46</f>
      </c>
      <c r="I46" s="17">
        <f>IF($H$2&gt;45000, D46*G46, IF($H$2&gt;15000, E46*G46, F46*G46)) </f>
      </c>
      <c r="J46" s="15" t="s">
        <v>38</v>
      </c>
      <c r="K46" t="s">
        <v>1270</v>
      </c>
    </row>
    <row r="47" outlineLevel="1">
      <c r="A47" s="15" t="s">
        <v>1271</v>
      </c>
      <c r="B47" s="15" t="s">
        <v>1272</v>
      </c>
      <c r="C47" s="15" t="s">
        <v>38</v>
      </c>
      <c r="D47" s="16">
        <v>351</v>
      </c>
      <c r="E47" s="16">
        <v>382</v>
      </c>
      <c r="F47" s="16">
        <v>421</v>
      </c>
      <c r="G47" s="17">
        <v>0</v>
      </c>
      <c r="H47" s="15">
        <f>G47*F47</f>
      </c>
      <c r="I47" s="17">
        <f>IF($H$2&gt;45000, D47*G47, IF($H$2&gt;15000, E47*G47, F47*G47)) </f>
      </c>
      <c r="J47" s="15" t="s">
        <v>38</v>
      </c>
      <c r="K47" t="s">
        <v>1273</v>
      </c>
    </row>
    <row r="48" outlineLevel="1">
      <c r="A48" s="15" t="s">
        <v>1274</v>
      </c>
      <c r="B48" s="15" t="s">
        <v>1275</v>
      </c>
      <c r="C48" s="15" t="s">
        <v>38</v>
      </c>
      <c r="D48" s="16">
        <v>229</v>
      </c>
      <c r="E48" s="16">
        <v>250</v>
      </c>
      <c r="F48" s="16">
        <v>275</v>
      </c>
      <c r="G48" s="17">
        <v>0</v>
      </c>
      <c r="H48" s="15">
        <f>G48*F48</f>
      </c>
      <c r="I48" s="17">
        <f>IF($H$2&gt;45000, D48*G48, IF($H$2&gt;15000, E48*G48, F48*G48)) </f>
      </c>
      <c r="J48" s="15" t="s">
        <v>38</v>
      </c>
      <c r="K48" t="s">
        <v>1276</v>
      </c>
    </row>
    <row r="49"/>
    <row r="50">
      <c r="A50" s="12" t="s">
        <v>35</v>
      </c>
    </row>
  </sheetData>
  <mergeCells count="3">
    <mergeCell ref="A4:J4"/>
    <mergeCell ref="A6:J6"/>
    <mergeCell ref="A50:J50"/>
  </mergeCells>
  <hyperlinks>
    <hyperlink ref="A4" location="ОГЛАВЛЕНИЕ!A1"/>
    <hyperlink ref="A50" location="ОГЛАВЛЕНИЕ!A1"/>
  </hyperlinks>
</worksheet>
</file>

<file path=xl/worksheets/sheet10.xml><?xml version="1.0" encoding="utf-8"?>
<worksheet xmlns="http://schemas.openxmlformats.org/spreadsheetml/2006/main" xmlns:r="http://schemas.openxmlformats.org/officeDocument/2006/relationships" xmlns:mc="http://schemas.openxmlformats.org/markup-compatibility/2006">
  <sheetPr>
    <outlinePr summaryBelow="false" summaryRight="false" showOutlineSymbols="false"/>
  </sheetPr>
  <dimension ref="A1"/>
  <sheetViews>
    <sheetView workbookViewId="0"/>
  </sheetViews>
  <cols>
    <col customWidth="true" max="1" min="1" width="14"/>
    <col customWidth="true" max="2" min="2" width="39"/>
    <col customWidth="true" hidden="true" max="8" min="8" width="9.140625"/>
    <col customWidth="true" max="9" min="9" width="10"/>
    <col customWidth="true" max="10" min="10" width="25"/>
    <col customWidth="true" hidden="true" max="12" min="11" width="9.140625"/>
  </cols>
  <sheetData>
    <row r="1" hidden="true">
      <c r="A1" t="s">
        <v>22</v>
      </c>
      <c r="B1" t="s">
        <v>23</v>
      </c>
      <c r="C1" t="s">
        <v>24</v>
      </c>
      <c r="D1" t="s">
        <v>25</v>
      </c>
      <c r="E1" t="s">
        <v>26</v>
      </c>
      <c r="F1" t="s">
        <v>27</v>
      </c>
      <c r="G1" t="s">
        <v>28</v>
      </c>
      <c r="H1" t="s">
        <v>29</v>
      </c>
      <c r="I1" t="s">
        <v>30</v>
      </c>
      <c r="J1" t="s">
        <v>31</v>
      </c>
      <c r="K1" t="s">
        <v>32</v>
      </c>
      <c r="L1" t="s">
        <v>33</v>
      </c>
    </row>
    <row r="2" ht="11" customHeight="true">
      <c r="H2" s="10">
        <f>=SUM(H6:H90)</f>
        <v>0</v>
      </c>
      <c r="I2" s="11" t="s">
        <v>34</v>
      </c>
      <c r="J2" s="11">
        <f>=SUM(I6:I90)</f>
        <v>0</v>
      </c>
    </row>
    <row r="3"/>
    <row r="4">
      <c r="A4" s="12" t="s">
        <v>35</v>
      </c>
    </row>
    <row r="5" ht="20" customHeight="true">
      <c r="A5" s="13" t="s">
        <v>22</v>
      </c>
      <c r="B5" s="13" t="s">
        <v>23</v>
      </c>
      <c r="C5" s="13" t="s">
        <v>24</v>
      </c>
      <c r="D5" s="14" t="s">
        <v>25</v>
      </c>
      <c r="E5" s="14" t="s">
        <v>26</v>
      </c>
      <c r="F5" s="14" t="s">
        <v>27</v>
      </c>
      <c r="G5" s="14" t="s">
        <v>28</v>
      </c>
      <c r="H5" s="13" t="s">
        <v>29</v>
      </c>
      <c r="I5" s="14" t="s">
        <v>30</v>
      </c>
      <c r="J5" s="13" t="s">
        <v>31</v>
      </c>
    </row>
    <row r="6">
      <c r="A6" s="15" t="s">
        <v>1277</v>
      </c>
      <c r="B6" s="15" t="s">
        <v>1278</v>
      </c>
      <c r="C6" s="15" t="s">
        <v>38</v>
      </c>
      <c r="D6" s="16">
        <v>35</v>
      </c>
      <c r="E6" s="16">
        <v>38</v>
      </c>
      <c r="F6" s="16">
        <v>42</v>
      </c>
      <c r="G6" s="17">
        <v>0</v>
      </c>
      <c r="H6" s="15">
        <f>G6*F6</f>
      </c>
      <c r="I6" s="17">
        <f>IF($H$2&gt;45000, D6*G6, IF($H$2&gt;15000, E6*G6, F6*G6)) </f>
      </c>
      <c r="J6" s="15" t="s">
        <v>38</v>
      </c>
      <c r="K6" t="s">
        <v>1279</v>
      </c>
    </row>
    <row r="7">
      <c r="A7" s="15" t="s">
        <v>1280</v>
      </c>
      <c r="B7" s="15" t="s">
        <v>1281</v>
      </c>
      <c r="C7" s="15" t="s">
        <v>38</v>
      </c>
      <c r="D7" s="16">
        <v>35</v>
      </c>
      <c r="E7" s="16">
        <v>38</v>
      </c>
      <c r="F7" s="16">
        <v>42</v>
      </c>
      <c r="G7" s="17">
        <v>0</v>
      </c>
      <c r="H7" s="15">
        <f>G7*F7</f>
      </c>
      <c r="I7" s="17">
        <f>IF($H$2&gt;45000, D7*G7, IF($H$2&gt;15000, E7*G7, F7*G7)) </f>
      </c>
      <c r="J7" s="15" t="s">
        <v>38</v>
      </c>
      <c r="K7" t="s">
        <v>1282</v>
      </c>
    </row>
    <row r="8">
      <c r="A8" s="15" t="s">
        <v>1283</v>
      </c>
      <c r="B8" s="15" t="s">
        <v>1284</v>
      </c>
      <c r="C8" s="15" t="s">
        <v>38</v>
      </c>
      <c r="D8" s="16">
        <v>35</v>
      </c>
      <c r="E8" s="16">
        <v>38</v>
      </c>
      <c r="F8" s="16">
        <v>42</v>
      </c>
      <c r="G8" s="17">
        <v>0</v>
      </c>
      <c r="H8" s="15">
        <f>G8*F8</f>
      </c>
      <c r="I8" s="17">
        <f>IF($H$2&gt;45000, D8*G8, IF($H$2&gt;15000, E8*G8, F8*G8)) </f>
      </c>
      <c r="J8" s="15" t="s">
        <v>38</v>
      </c>
      <c r="K8" t="s">
        <v>1285</v>
      </c>
    </row>
    <row r="9">
      <c r="A9" s="15" t="s">
        <v>1286</v>
      </c>
      <c r="B9" s="15" t="s">
        <v>1287</v>
      </c>
      <c r="C9" s="15" t="s">
        <v>38</v>
      </c>
      <c r="D9" s="16">
        <v>35</v>
      </c>
      <c r="E9" s="16">
        <v>38</v>
      </c>
      <c r="F9" s="16">
        <v>42</v>
      </c>
      <c r="G9" s="17">
        <v>0</v>
      </c>
      <c r="H9" s="15">
        <f>G9*F9</f>
      </c>
      <c r="I9" s="17">
        <f>IF($H$2&gt;45000, D9*G9, IF($H$2&gt;15000, E9*G9, F9*G9)) </f>
      </c>
      <c r="J9" s="15" t="s">
        <v>38</v>
      </c>
      <c r="K9" t="s">
        <v>1288</v>
      </c>
    </row>
    <row r="10">
      <c r="A10" s="15" t="s">
        <v>1289</v>
      </c>
      <c r="B10" s="15" t="s">
        <v>1290</v>
      </c>
      <c r="C10" s="15" t="s">
        <v>38</v>
      </c>
      <c r="D10" s="16">
        <v>35</v>
      </c>
      <c r="E10" s="16">
        <v>38</v>
      </c>
      <c r="F10" s="16">
        <v>42</v>
      </c>
      <c r="G10" s="17">
        <v>0</v>
      </c>
      <c r="H10" s="15">
        <f>G10*F10</f>
      </c>
      <c r="I10" s="17">
        <f>IF($H$2&gt;45000, D10*G10, IF($H$2&gt;15000, E10*G10, F10*G10)) </f>
      </c>
      <c r="J10" s="15" t="s">
        <v>38</v>
      </c>
      <c r="K10" t="s">
        <v>1291</v>
      </c>
    </row>
    <row r="11">
      <c r="A11" s="15" t="s">
        <v>1292</v>
      </c>
      <c r="B11" s="15" t="s">
        <v>1293</v>
      </c>
      <c r="C11" s="15" t="s">
        <v>38</v>
      </c>
      <c r="D11" s="16">
        <v>35</v>
      </c>
      <c r="E11" s="16">
        <v>38</v>
      </c>
      <c r="F11" s="16">
        <v>42</v>
      </c>
      <c r="G11" s="17">
        <v>0</v>
      </c>
      <c r="H11" s="15">
        <f>G11*F11</f>
      </c>
      <c r="I11" s="17">
        <f>IF($H$2&gt;45000, D11*G11, IF($H$2&gt;15000, E11*G11, F11*G11)) </f>
      </c>
      <c r="J11" s="15" t="s">
        <v>38</v>
      </c>
      <c r="K11" t="s">
        <v>1294</v>
      </c>
    </row>
    <row r="12">
      <c r="A12" s="15" t="s">
        <v>1295</v>
      </c>
      <c r="B12" s="15" t="s">
        <v>1296</v>
      </c>
      <c r="C12" s="15" t="s">
        <v>38</v>
      </c>
      <c r="D12" s="16">
        <v>35</v>
      </c>
      <c r="E12" s="16">
        <v>38</v>
      </c>
      <c r="F12" s="16">
        <v>42</v>
      </c>
      <c r="G12" s="17">
        <v>0</v>
      </c>
      <c r="H12" s="15">
        <f>G12*F12</f>
      </c>
      <c r="I12" s="17">
        <f>IF($H$2&gt;45000, D12*G12, IF($H$2&gt;15000, E12*G12, F12*G12)) </f>
      </c>
      <c r="J12" s="15" t="s">
        <v>38</v>
      </c>
      <c r="K12" t="s">
        <v>1297</v>
      </c>
    </row>
    <row r="13">
      <c r="A13" s="15" t="s">
        <v>1298</v>
      </c>
      <c r="B13" s="15" t="s">
        <v>1299</v>
      </c>
      <c r="C13" s="15" t="s">
        <v>38</v>
      </c>
      <c r="D13" s="16">
        <v>35</v>
      </c>
      <c r="E13" s="16">
        <v>38</v>
      </c>
      <c r="F13" s="16">
        <v>42</v>
      </c>
      <c r="G13" s="17">
        <v>0</v>
      </c>
      <c r="H13" s="15">
        <f>G13*F13</f>
      </c>
      <c r="I13" s="17">
        <f>IF($H$2&gt;45000, D13*G13, IF($H$2&gt;15000, E13*G13, F13*G13)) </f>
      </c>
      <c r="J13" s="15" t="s">
        <v>38</v>
      </c>
      <c r="K13" t="s">
        <v>1300</v>
      </c>
    </row>
    <row r="14">
      <c r="A14" s="15" t="s">
        <v>1301</v>
      </c>
      <c r="B14" s="15" t="s">
        <v>1302</v>
      </c>
      <c r="C14" s="15" t="s">
        <v>38</v>
      </c>
      <c r="D14" s="16">
        <v>35</v>
      </c>
      <c r="E14" s="16">
        <v>38</v>
      </c>
      <c r="F14" s="16">
        <v>42</v>
      </c>
      <c r="G14" s="17">
        <v>0</v>
      </c>
      <c r="H14" s="15">
        <f>G14*F14</f>
      </c>
      <c r="I14" s="17">
        <f>IF($H$2&gt;45000, D14*G14, IF($H$2&gt;15000, E14*G14, F14*G14)) </f>
      </c>
      <c r="J14" s="15" t="s">
        <v>38</v>
      </c>
      <c r="K14" t="s">
        <v>1303</v>
      </c>
    </row>
    <row r="15">
      <c r="A15" s="15" t="s">
        <v>1304</v>
      </c>
      <c r="B15" s="15" t="s">
        <v>1305</v>
      </c>
      <c r="C15" s="15" t="s">
        <v>38</v>
      </c>
      <c r="D15" s="16">
        <v>35</v>
      </c>
      <c r="E15" s="16">
        <v>38</v>
      </c>
      <c r="F15" s="16">
        <v>42</v>
      </c>
      <c r="G15" s="17">
        <v>0</v>
      </c>
      <c r="H15" s="15">
        <f>G15*F15</f>
      </c>
      <c r="I15" s="17">
        <f>IF($H$2&gt;45000, D15*G15, IF($H$2&gt;15000, E15*G15, F15*G15)) </f>
      </c>
      <c r="J15" s="15" t="s">
        <v>38</v>
      </c>
      <c r="K15" t="s">
        <v>1306</v>
      </c>
    </row>
    <row r="16">
      <c r="A16" s="15" t="s">
        <v>1307</v>
      </c>
      <c r="B16" s="15" t="s">
        <v>1308</v>
      </c>
      <c r="C16" s="15" t="s">
        <v>38</v>
      </c>
      <c r="D16" s="16">
        <v>35</v>
      </c>
      <c r="E16" s="16">
        <v>38</v>
      </c>
      <c r="F16" s="16">
        <v>42</v>
      </c>
      <c r="G16" s="17">
        <v>0</v>
      </c>
      <c r="H16" s="15">
        <f>G16*F16</f>
      </c>
      <c r="I16" s="17">
        <f>IF($H$2&gt;45000, D16*G16, IF($H$2&gt;15000, E16*G16, F16*G16)) </f>
      </c>
      <c r="J16" s="15" t="s">
        <v>38</v>
      </c>
      <c r="K16" t="s">
        <v>1309</v>
      </c>
    </row>
    <row r="17">
      <c r="A17" s="15" t="s">
        <v>1310</v>
      </c>
      <c r="B17" s="15" t="s">
        <v>1311</v>
      </c>
      <c r="C17" s="15" t="s">
        <v>38</v>
      </c>
      <c r="D17" s="16">
        <v>35</v>
      </c>
      <c r="E17" s="16">
        <v>38</v>
      </c>
      <c r="F17" s="16">
        <v>42</v>
      </c>
      <c r="G17" s="17">
        <v>0</v>
      </c>
      <c r="H17" s="15">
        <f>G17*F17</f>
      </c>
      <c r="I17" s="17">
        <f>IF($H$2&gt;45000, D17*G17, IF($H$2&gt;15000, E17*G17, F17*G17)) </f>
      </c>
      <c r="J17" s="15" t="s">
        <v>38</v>
      </c>
      <c r="K17" t="s">
        <v>1312</v>
      </c>
    </row>
    <row r="18">
      <c r="A18" s="15" t="s">
        <v>1313</v>
      </c>
      <c r="B18" s="15" t="s">
        <v>1314</v>
      </c>
      <c r="C18" s="15" t="s">
        <v>38</v>
      </c>
      <c r="D18" s="16">
        <v>35</v>
      </c>
      <c r="E18" s="16">
        <v>38</v>
      </c>
      <c r="F18" s="16">
        <v>42</v>
      </c>
      <c r="G18" s="17">
        <v>0</v>
      </c>
      <c r="H18" s="15">
        <f>G18*F18</f>
      </c>
      <c r="I18" s="17">
        <f>IF($H$2&gt;45000, D18*G18, IF($H$2&gt;15000, E18*G18, F18*G18)) </f>
      </c>
      <c r="J18" s="15" t="s">
        <v>38</v>
      </c>
      <c r="K18" t="s">
        <v>1315</v>
      </c>
    </row>
    <row r="19">
      <c r="A19" s="15" t="s">
        <v>1316</v>
      </c>
      <c r="B19" s="15" t="s">
        <v>1317</v>
      </c>
      <c r="C19" s="15" t="s">
        <v>38</v>
      </c>
      <c r="D19" s="16">
        <v>35</v>
      </c>
      <c r="E19" s="16">
        <v>38</v>
      </c>
      <c r="F19" s="16">
        <v>42</v>
      </c>
      <c r="G19" s="17">
        <v>0</v>
      </c>
      <c r="H19" s="15">
        <f>G19*F19</f>
      </c>
      <c r="I19" s="17">
        <f>IF($H$2&gt;45000, D19*G19, IF($H$2&gt;15000, E19*G19, F19*G19)) </f>
      </c>
      <c r="J19" s="15" t="s">
        <v>38</v>
      </c>
      <c r="K19" t="s">
        <v>1318</v>
      </c>
    </row>
    <row r="20">
      <c r="A20" s="15" t="s">
        <v>1319</v>
      </c>
      <c r="B20" s="15" t="s">
        <v>1320</v>
      </c>
      <c r="C20" s="15" t="s">
        <v>38</v>
      </c>
      <c r="D20" s="16">
        <v>35</v>
      </c>
      <c r="E20" s="16">
        <v>38</v>
      </c>
      <c r="F20" s="16">
        <v>42</v>
      </c>
      <c r="G20" s="17">
        <v>0</v>
      </c>
      <c r="H20" s="15">
        <f>G20*F20</f>
      </c>
      <c r="I20" s="17">
        <f>IF($H$2&gt;45000, D20*G20, IF($H$2&gt;15000, E20*G20, F20*G20)) </f>
      </c>
      <c r="J20" s="15" t="s">
        <v>38</v>
      </c>
      <c r="K20" t="s">
        <v>1321</v>
      </c>
    </row>
    <row r="21">
      <c r="A21" s="15" t="s">
        <v>1322</v>
      </c>
      <c r="B21" s="15" t="s">
        <v>1323</v>
      </c>
      <c r="C21" s="15" t="s">
        <v>38</v>
      </c>
      <c r="D21" s="16">
        <v>35</v>
      </c>
      <c r="E21" s="16">
        <v>38</v>
      </c>
      <c r="F21" s="16">
        <v>42</v>
      </c>
      <c r="G21" s="17">
        <v>0</v>
      </c>
      <c r="H21" s="15">
        <f>G21*F21</f>
      </c>
      <c r="I21" s="17">
        <f>IF($H$2&gt;45000, D21*G21, IF($H$2&gt;15000, E21*G21, F21*G21)) </f>
      </c>
      <c r="J21" s="15" t="s">
        <v>38</v>
      </c>
      <c r="K21" t="s">
        <v>1324</v>
      </c>
    </row>
    <row r="22">
      <c r="A22" s="15" t="s">
        <v>1325</v>
      </c>
      <c r="B22" s="15" t="s">
        <v>1326</v>
      </c>
      <c r="C22" s="15" t="s">
        <v>38</v>
      </c>
      <c r="D22" s="16">
        <v>35</v>
      </c>
      <c r="E22" s="16">
        <v>38</v>
      </c>
      <c r="F22" s="16">
        <v>42</v>
      </c>
      <c r="G22" s="17">
        <v>0</v>
      </c>
      <c r="H22" s="15">
        <f>G22*F22</f>
      </c>
      <c r="I22" s="17">
        <f>IF($H$2&gt;45000, D22*G22, IF($H$2&gt;15000, E22*G22, F22*G22)) </f>
      </c>
      <c r="J22" s="15" t="s">
        <v>38</v>
      </c>
      <c r="K22" t="s">
        <v>1327</v>
      </c>
    </row>
    <row r="23">
      <c r="A23" s="15" t="s">
        <v>1328</v>
      </c>
      <c r="B23" s="15" t="s">
        <v>1329</v>
      </c>
      <c r="C23" s="15" t="s">
        <v>38</v>
      </c>
      <c r="D23" s="16">
        <v>35</v>
      </c>
      <c r="E23" s="16">
        <v>38</v>
      </c>
      <c r="F23" s="16">
        <v>42</v>
      </c>
      <c r="G23" s="17">
        <v>0</v>
      </c>
      <c r="H23" s="15">
        <f>G23*F23</f>
      </c>
      <c r="I23" s="17">
        <f>IF($H$2&gt;45000, D23*G23, IF($H$2&gt;15000, E23*G23, F23*G23)) </f>
      </c>
      <c r="J23" s="15" t="s">
        <v>38</v>
      </c>
      <c r="K23" t="s">
        <v>1330</v>
      </c>
    </row>
    <row r="24">
      <c r="A24" s="15" t="s">
        <v>1331</v>
      </c>
      <c r="B24" s="15" t="s">
        <v>1332</v>
      </c>
      <c r="C24" s="15" t="s">
        <v>38</v>
      </c>
      <c r="D24" s="16">
        <v>35</v>
      </c>
      <c r="E24" s="16">
        <v>38</v>
      </c>
      <c r="F24" s="16">
        <v>42</v>
      </c>
      <c r="G24" s="17">
        <v>0</v>
      </c>
      <c r="H24" s="15">
        <f>G24*F24</f>
      </c>
      <c r="I24" s="17">
        <f>IF($H$2&gt;45000, D24*G24, IF($H$2&gt;15000, E24*G24, F24*G24)) </f>
      </c>
      <c r="J24" s="15" t="s">
        <v>38</v>
      </c>
      <c r="K24" t="s">
        <v>1333</v>
      </c>
    </row>
    <row r="25">
      <c r="A25" s="15" t="s">
        <v>1334</v>
      </c>
      <c r="B25" s="15" t="s">
        <v>1335</v>
      </c>
      <c r="C25" s="15" t="s">
        <v>38</v>
      </c>
      <c r="D25" s="16">
        <v>35</v>
      </c>
      <c r="E25" s="16">
        <v>38</v>
      </c>
      <c r="F25" s="16">
        <v>42</v>
      </c>
      <c r="G25" s="17">
        <v>0</v>
      </c>
      <c r="H25" s="15">
        <f>G25*F25</f>
      </c>
      <c r="I25" s="17">
        <f>IF($H$2&gt;45000, D25*G25, IF($H$2&gt;15000, E25*G25, F25*G25)) </f>
      </c>
      <c r="J25" s="15" t="s">
        <v>38</v>
      </c>
      <c r="K25" t="s">
        <v>1336</v>
      </c>
    </row>
    <row r="26">
      <c r="A26" s="15" t="s">
        <v>1337</v>
      </c>
      <c r="B26" s="15" t="s">
        <v>1338</v>
      </c>
      <c r="C26" s="15" t="s">
        <v>38</v>
      </c>
      <c r="D26" s="16">
        <v>35</v>
      </c>
      <c r="E26" s="16">
        <v>38</v>
      </c>
      <c r="F26" s="16">
        <v>42</v>
      </c>
      <c r="G26" s="17">
        <v>0</v>
      </c>
      <c r="H26" s="15">
        <f>G26*F26</f>
      </c>
      <c r="I26" s="17">
        <f>IF($H$2&gt;45000, D26*G26, IF($H$2&gt;15000, E26*G26, F26*G26)) </f>
      </c>
      <c r="J26" s="15" t="s">
        <v>38</v>
      </c>
      <c r="K26" t="s">
        <v>1339</v>
      </c>
    </row>
    <row r="27">
      <c r="A27" s="15" t="s">
        <v>1340</v>
      </c>
      <c r="B27" s="15" t="s">
        <v>1341</v>
      </c>
      <c r="C27" s="15" t="s">
        <v>38</v>
      </c>
      <c r="D27" s="16">
        <v>35</v>
      </c>
      <c r="E27" s="16">
        <v>38</v>
      </c>
      <c r="F27" s="16">
        <v>42</v>
      </c>
      <c r="G27" s="17">
        <v>0</v>
      </c>
      <c r="H27" s="15">
        <f>G27*F27</f>
      </c>
      <c r="I27" s="17">
        <f>IF($H$2&gt;45000, D27*G27, IF($H$2&gt;15000, E27*G27, F27*G27)) </f>
      </c>
      <c r="J27" s="15" t="s">
        <v>38</v>
      </c>
      <c r="K27" t="s">
        <v>1342</v>
      </c>
    </row>
    <row r="28">
      <c r="A28" s="15" t="s">
        <v>1343</v>
      </c>
      <c r="B28" s="15" t="s">
        <v>1344</v>
      </c>
      <c r="C28" s="15" t="s">
        <v>38</v>
      </c>
      <c r="D28" s="16">
        <v>35</v>
      </c>
      <c r="E28" s="16">
        <v>38</v>
      </c>
      <c r="F28" s="16">
        <v>42</v>
      </c>
      <c r="G28" s="17">
        <v>0</v>
      </c>
      <c r="H28" s="15">
        <f>G28*F28</f>
      </c>
      <c r="I28" s="17">
        <f>IF($H$2&gt;45000, D28*G28, IF($H$2&gt;15000, E28*G28, F28*G28)) </f>
      </c>
      <c r="J28" s="15" t="s">
        <v>38</v>
      </c>
      <c r="K28" t="s">
        <v>1345</v>
      </c>
    </row>
    <row r="29">
      <c r="A29" s="15" t="s">
        <v>1346</v>
      </c>
      <c r="B29" s="15" t="s">
        <v>1347</v>
      </c>
      <c r="C29" s="15" t="s">
        <v>38</v>
      </c>
      <c r="D29" s="16">
        <v>35</v>
      </c>
      <c r="E29" s="16">
        <v>38</v>
      </c>
      <c r="F29" s="16">
        <v>42</v>
      </c>
      <c r="G29" s="17">
        <v>0</v>
      </c>
      <c r="H29" s="15">
        <f>G29*F29</f>
      </c>
      <c r="I29" s="17">
        <f>IF($H$2&gt;45000, D29*G29, IF($H$2&gt;15000, E29*G29, F29*G29)) </f>
      </c>
      <c r="J29" s="15" t="s">
        <v>38</v>
      </c>
      <c r="K29" t="s">
        <v>1348</v>
      </c>
    </row>
    <row r="30">
      <c r="A30" s="15" t="s">
        <v>1349</v>
      </c>
      <c r="B30" s="15" t="s">
        <v>1350</v>
      </c>
      <c r="C30" s="15" t="s">
        <v>38</v>
      </c>
      <c r="D30" s="16">
        <v>35</v>
      </c>
      <c r="E30" s="16">
        <v>38</v>
      </c>
      <c r="F30" s="16">
        <v>42</v>
      </c>
      <c r="G30" s="17">
        <v>0</v>
      </c>
      <c r="H30" s="15">
        <f>G30*F30</f>
      </c>
      <c r="I30" s="17">
        <f>IF($H$2&gt;45000, D30*G30, IF($H$2&gt;15000, E30*G30, F30*G30)) </f>
      </c>
      <c r="J30" s="15" t="s">
        <v>38</v>
      </c>
      <c r="K30" t="s">
        <v>1351</v>
      </c>
    </row>
    <row r="31">
      <c r="A31" s="15" t="s">
        <v>1352</v>
      </c>
      <c r="B31" s="15" t="s">
        <v>1353</v>
      </c>
      <c r="C31" s="15" t="s">
        <v>38</v>
      </c>
      <c r="D31" s="16">
        <v>35</v>
      </c>
      <c r="E31" s="16">
        <v>38</v>
      </c>
      <c r="F31" s="16">
        <v>42</v>
      </c>
      <c r="G31" s="17">
        <v>0</v>
      </c>
      <c r="H31" s="15">
        <f>G31*F31</f>
      </c>
      <c r="I31" s="17">
        <f>IF($H$2&gt;45000, D31*G31, IF($H$2&gt;15000, E31*G31, F31*G31)) </f>
      </c>
      <c r="J31" s="15" t="s">
        <v>38</v>
      </c>
      <c r="K31" t="s">
        <v>1354</v>
      </c>
    </row>
    <row r="32">
      <c r="A32" s="15" t="s">
        <v>1355</v>
      </c>
      <c r="B32" s="15" t="s">
        <v>1356</v>
      </c>
      <c r="C32" s="15" t="s">
        <v>38</v>
      </c>
      <c r="D32" s="16">
        <v>35</v>
      </c>
      <c r="E32" s="16">
        <v>38</v>
      </c>
      <c r="F32" s="16">
        <v>42</v>
      </c>
      <c r="G32" s="17">
        <v>0</v>
      </c>
      <c r="H32" s="15">
        <f>G32*F32</f>
      </c>
      <c r="I32" s="17">
        <f>IF($H$2&gt;45000, D32*G32, IF($H$2&gt;15000, E32*G32, F32*G32)) </f>
      </c>
      <c r="J32" s="15" t="s">
        <v>38</v>
      </c>
      <c r="K32" t="s">
        <v>1357</v>
      </c>
    </row>
    <row r="33">
      <c r="A33" s="15" t="s">
        <v>1358</v>
      </c>
      <c r="B33" s="15" t="s">
        <v>1359</v>
      </c>
      <c r="C33" s="15" t="s">
        <v>38</v>
      </c>
      <c r="D33" s="16">
        <v>35</v>
      </c>
      <c r="E33" s="16">
        <v>38</v>
      </c>
      <c r="F33" s="16">
        <v>42</v>
      </c>
      <c r="G33" s="17">
        <v>0</v>
      </c>
      <c r="H33" s="15">
        <f>G33*F33</f>
      </c>
      <c r="I33" s="17">
        <f>IF($H$2&gt;45000, D33*G33, IF($H$2&gt;15000, E33*G33, F33*G33)) </f>
      </c>
      <c r="J33" s="15" t="s">
        <v>38</v>
      </c>
      <c r="K33" t="s">
        <v>1360</v>
      </c>
    </row>
    <row r="34">
      <c r="A34" s="15" t="s">
        <v>1361</v>
      </c>
      <c r="B34" s="15" t="s">
        <v>1362</v>
      </c>
      <c r="C34" s="15" t="s">
        <v>38</v>
      </c>
      <c r="D34" s="16">
        <v>35</v>
      </c>
      <c r="E34" s="16">
        <v>38</v>
      </c>
      <c r="F34" s="16">
        <v>42</v>
      </c>
      <c r="G34" s="17">
        <v>0</v>
      </c>
      <c r="H34" s="15">
        <f>G34*F34</f>
      </c>
      <c r="I34" s="17">
        <f>IF($H$2&gt;45000, D34*G34, IF($H$2&gt;15000, E34*G34, F34*G34)) </f>
      </c>
      <c r="J34" s="15" t="s">
        <v>38</v>
      </c>
      <c r="K34" t="s">
        <v>1363</v>
      </c>
    </row>
    <row r="35">
      <c r="A35" s="15" t="s">
        <v>1364</v>
      </c>
      <c r="B35" s="15" t="s">
        <v>1365</v>
      </c>
      <c r="C35" s="15" t="s">
        <v>38</v>
      </c>
      <c r="D35" s="16">
        <v>35</v>
      </c>
      <c r="E35" s="16">
        <v>38</v>
      </c>
      <c r="F35" s="16">
        <v>42</v>
      </c>
      <c r="G35" s="17">
        <v>0</v>
      </c>
      <c r="H35" s="15">
        <f>G35*F35</f>
      </c>
      <c r="I35" s="17">
        <f>IF($H$2&gt;45000, D35*G35, IF($H$2&gt;15000, E35*G35, F35*G35)) </f>
      </c>
      <c r="J35" s="15" t="s">
        <v>38</v>
      </c>
      <c r="K35" t="s">
        <v>1366</v>
      </c>
    </row>
    <row r="36">
      <c r="A36" s="15" t="s">
        <v>1367</v>
      </c>
      <c r="B36" s="15" t="s">
        <v>1368</v>
      </c>
      <c r="C36" s="15" t="s">
        <v>38</v>
      </c>
      <c r="D36" s="16">
        <v>35</v>
      </c>
      <c r="E36" s="16">
        <v>38</v>
      </c>
      <c r="F36" s="16">
        <v>42</v>
      </c>
      <c r="G36" s="17">
        <v>0</v>
      </c>
      <c r="H36" s="15">
        <f>G36*F36</f>
      </c>
      <c r="I36" s="17">
        <f>IF($H$2&gt;45000, D36*G36, IF($H$2&gt;15000, E36*G36, F36*G36)) </f>
      </c>
      <c r="J36" s="15" t="s">
        <v>38</v>
      </c>
      <c r="K36" t="s">
        <v>1369</v>
      </c>
    </row>
    <row r="37">
      <c r="A37" s="15" t="s">
        <v>1370</v>
      </c>
      <c r="B37" s="15" t="s">
        <v>1371</v>
      </c>
      <c r="C37" s="15" t="s">
        <v>38</v>
      </c>
      <c r="D37" s="16">
        <v>35</v>
      </c>
      <c r="E37" s="16">
        <v>38</v>
      </c>
      <c r="F37" s="16">
        <v>42</v>
      </c>
      <c r="G37" s="17">
        <v>0</v>
      </c>
      <c r="H37" s="15">
        <f>G37*F37</f>
      </c>
      <c r="I37" s="17">
        <f>IF($H$2&gt;45000, D37*G37, IF($H$2&gt;15000, E37*G37, F37*G37)) </f>
      </c>
      <c r="J37" s="15" t="s">
        <v>38</v>
      </c>
      <c r="K37" t="s">
        <v>1372</v>
      </c>
    </row>
    <row r="38">
      <c r="A38" s="15" t="s">
        <v>1373</v>
      </c>
      <c r="B38" s="15" t="s">
        <v>1374</v>
      </c>
      <c r="C38" s="15" t="s">
        <v>38</v>
      </c>
      <c r="D38" s="16">
        <v>35</v>
      </c>
      <c r="E38" s="16">
        <v>38</v>
      </c>
      <c r="F38" s="16">
        <v>42</v>
      </c>
      <c r="G38" s="17">
        <v>0</v>
      </c>
      <c r="H38" s="15">
        <f>G38*F38</f>
      </c>
      <c r="I38" s="17">
        <f>IF($H$2&gt;45000, D38*G38, IF($H$2&gt;15000, E38*G38, F38*G38)) </f>
      </c>
      <c r="J38" s="15" t="s">
        <v>38</v>
      </c>
      <c r="K38" t="s">
        <v>1375</v>
      </c>
    </row>
    <row r="39">
      <c r="A39" s="15" t="s">
        <v>1376</v>
      </c>
      <c r="B39" s="15" t="s">
        <v>1377</v>
      </c>
      <c r="C39" s="15" t="s">
        <v>38</v>
      </c>
      <c r="D39" s="16">
        <v>35</v>
      </c>
      <c r="E39" s="16">
        <v>38</v>
      </c>
      <c r="F39" s="16">
        <v>42</v>
      </c>
      <c r="G39" s="17">
        <v>0</v>
      </c>
      <c r="H39" s="15">
        <f>G39*F39</f>
      </c>
      <c r="I39" s="17">
        <f>IF($H$2&gt;45000, D39*G39, IF($H$2&gt;15000, E39*G39, F39*G39)) </f>
      </c>
      <c r="J39" s="15" t="s">
        <v>38</v>
      </c>
      <c r="K39" t="s">
        <v>1378</v>
      </c>
    </row>
    <row r="40">
      <c r="A40" s="15" t="s">
        <v>1379</v>
      </c>
      <c r="B40" s="15" t="s">
        <v>1380</v>
      </c>
      <c r="C40" s="15" t="s">
        <v>38</v>
      </c>
      <c r="D40" s="16">
        <v>35</v>
      </c>
      <c r="E40" s="16">
        <v>38</v>
      </c>
      <c r="F40" s="16">
        <v>42</v>
      </c>
      <c r="G40" s="17">
        <v>0</v>
      </c>
      <c r="H40" s="15">
        <f>G40*F40</f>
      </c>
      <c r="I40" s="17">
        <f>IF($H$2&gt;45000, D40*G40, IF($H$2&gt;15000, E40*G40, F40*G40)) </f>
      </c>
      <c r="J40" s="15" t="s">
        <v>38</v>
      </c>
      <c r="K40" t="s">
        <v>1381</v>
      </c>
    </row>
    <row r="41">
      <c r="A41" s="15" t="s">
        <v>1382</v>
      </c>
      <c r="B41" s="15" t="s">
        <v>1383</v>
      </c>
      <c r="C41" s="15" t="s">
        <v>38</v>
      </c>
      <c r="D41" s="16">
        <v>35</v>
      </c>
      <c r="E41" s="16">
        <v>38</v>
      </c>
      <c r="F41" s="16">
        <v>42</v>
      </c>
      <c r="G41" s="17">
        <v>0</v>
      </c>
      <c r="H41" s="15">
        <f>G41*F41</f>
      </c>
      <c r="I41" s="17">
        <f>IF($H$2&gt;45000, D41*G41, IF($H$2&gt;15000, E41*G41, F41*G41)) </f>
      </c>
      <c r="J41" s="15" t="s">
        <v>38</v>
      </c>
      <c r="K41" t="s">
        <v>1384</v>
      </c>
    </row>
    <row r="42">
      <c r="A42" s="15" t="s">
        <v>1385</v>
      </c>
      <c r="B42" s="15" t="s">
        <v>1386</v>
      </c>
      <c r="C42" s="15" t="s">
        <v>38</v>
      </c>
      <c r="D42" s="16">
        <v>35</v>
      </c>
      <c r="E42" s="16">
        <v>38</v>
      </c>
      <c r="F42" s="16">
        <v>42</v>
      </c>
      <c r="G42" s="17">
        <v>0</v>
      </c>
      <c r="H42" s="15">
        <f>G42*F42</f>
      </c>
      <c r="I42" s="17">
        <f>IF($H$2&gt;45000, D42*G42, IF($H$2&gt;15000, E42*G42, F42*G42)) </f>
      </c>
      <c r="J42" s="15" t="s">
        <v>38</v>
      </c>
      <c r="K42" t="s">
        <v>1387</v>
      </c>
    </row>
    <row r="43">
      <c r="A43" s="15" t="s">
        <v>1388</v>
      </c>
      <c r="B43" s="15" t="s">
        <v>1389</v>
      </c>
      <c r="C43" s="15" t="s">
        <v>38</v>
      </c>
      <c r="D43" s="16">
        <v>35</v>
      </c>
      <c r="E43" s="16">
        <v>38</v>
      </c>
      <c r="F43" s="16">
        <v>42</v>
      </c>
      <c r="G43" s="17">
        <v>0</v>
      </c>
      <c r="H43" s="15">
        <f>G43*F43</f>
      </c>
      <c r="I43" s="17">
        <f>IF($H$2&gt;45000, D43*G43, IF($H$2&gt;15000, E43*G43, F43*G43)) </f>
      </c>
      <c r="J43" s="15" t="s">
        <v>38</v>
      </c>
      <c r="K43" t="s">
        <v>1390</v>
      </c>
    </row>
    <row r="44">
      <c r="A44" s="15" t="s">
        <v>1391</v>
      </c>
      <c r="B44" s="15" t="s">
        <v>1392</v>
      </c>
      <c r="C44" s="15" t="s">
        <v>38</v>
      </c>
      <c r="D44" s="16">
        <v>35</v>
      </c>
      <c r="E44" s="16">
        <v>38</v>
      </c>
      <c r="F44" s="16">
        <v>42</v>
      </c>
      <c r="G44" s="17">
        <v>0</v>
      </c>
      <c r="H44" s="15">
        <f>G44*F44</f>
      </c>
      <c r="I44" s="17">
        <f>IF($H$2&gt;45000, D44*G44, IF($H$2&gt;15000, E44*G44, F44*G44)) </f>
      </c>
      <c r="J44" s="15" t="s">
        <v>38</v>
      </c>
      <c r="K44" t="s">
        <v>1393</v>
      </c>
    </row>
    <row r="45">
      <c r="A45" s="15" t="s">
        <v>1394</v>
      </c>
      <c r="B45" s="15" t="s">
        <v>1395</v>
      </c>
      <c r="C45" s="15" t="s">
        <v>38</v>
      </c>
      <c r="D45" s="16">
        <v>35</v>
      </c>
      <c r="E45" s="16">
        <v>38</v>
      </c>
      <c r="F45" s="16">
        <v>42</v>
      </c>
      <c r="G45" s="17">
        <v>0</v>
      </c>
      <c r="H45" s="15">
        <f>G45*F45</f>
      </c>
      <c r="I45" s="17">
        <f>IF($H$2&gt;45000, D45*G45, IF($H$2&gt;15000, E45*G45, F45*G45)) </f>
      </c>
      <c r="J45" s="15" t="s">
        <v>38</v>
      </c>
      <c r="K45" t="s">
        <v>1396</v>
      </c>
    </row>
    <row r="46">
      <c r="A46" s="15" t="s">
        <v>1397</v>
      </c>
      <c r="B46" s="15" t="s">
        <v>1398</v>
      </c>
      <c r="C46" s="15" t="s">
        <v>38</v>
      </c>
      <c r="D46" s="16">
        <v>35</v>
      </c>
      <c r="E46" s="16">
        <v>38</v>
      </c>
      <c r="F46" s="16">
        <v>42</v>
      </c>
      <c r="G46" s="17">
        <v>0</v>
      </c>
      <c r="H46" s="15">
        <f>G46*F46</f>
      </c>
      <c r="I46" s="17">
        <f>IF($H$2&gt;45000, D46*G46, IF($H$2&gt;15000, E46*G46, F46*G46)) </f>
      </c>
      <c r="J46" s="15" t="s">
        <v>38</v>
      </c>
      <c r="K46" t="s">
        <v>1399</v>
      </c>
    </row>
    <row r="47">
      <c r="A47" s="15" t="s">
        <v>1400</v>
      </c>
      <c r="B47" s="15" t="s">
        <v>1401</v>
      </c>
      <c r="C47" s="15" t="s">
        <v>38</v>
      </c>
      <c r="D47" s="16">
        <v>35</v>
      </c>
      <c r="E47" s="16">
        <v>38</v>
      </c>
      <c r="F47" s="16">
        <v>42</v>
      </c>
      <c r="G47" s="17">
        <v>0</v>
      </c>
      <c r="H47" s="15">
        <f>G47*F47</f>
      </c>
      <c r="I47" s="17">
        <f>IF($H$2&gt;45000, D47*G47, IF($H$2&gt;15000, E47*G47, F47*G47)) </f>
      </c>
      <c r="J47" s="15" t="s">
        <v>38</v>
      </c>
      <c r="K47" t="s">
        <v>1402</v>
      </c>
    </row>
    <row r="48">
      <c r="A48" s="15" t="s">
        <v>1403</v>
      </c>
      <c r="B48" s="15" t="s">
        <v>1404</v>
      </c>
      <c r="C48" s="15" t="s">
        <v>38</v>
      </c>
      <c r="D48" s="16">
        <v>35</v>
      </c>
      <c r="E48" s="16">
        <v>38</v>
      </c>
      <c r="F48" s="16">
        <v>42</v>
      </c>
      <c r="G48" s="17">
        <v>0</v>
      </c>
      <c r="H48" s="15">
        <f>G48*F48</f>
      </c>
      <c r="I48" s="17">
        <f>IF($H$2&gt;45000, D48*G48, IF($H$2&gt;15000, E48*G48, F48*G48)) </f>
      </c>
      <c r="J48" s="15" t="s">
        <v>38</v>
      </c>
      <c r="K48" t="s">
        <v>1405</v>
      </c>
    </row>
    <row r="49">
      <c r="A49" s="15" t="s">
        <v>1406</v>
      </c>
      <c r="B49" s="15" t="s">
        <v>1407</v>
      </c>
      <c r="C49" s="15" t="s">
        <v>38</v>
      </c>
      <c r="D49" s="16">
        <v>35</v>
      </c>
      <c r="E49" s="16">
        <v>38</v>
      </c>
      <c r="F49" s="16">
        <v>42</v>
      </c>
      <c r="G49" s="17">
        <v>0</v>
      </c>
      <c r="H49" s="15">
        <f>G49*F49</f>
      </c>
      <c r="I49" s="17">
        <f>IF($H$2&gt;45000, D49*G49, IF($H$2&gt;15000, E49*G49, F49*G49)) </f>
      </c>
      <c r="J49" s="15" t="s">
        <v>38</v>
      </c>
      <c r="K49" t="s">
        <v>1408</v>
      </c>
    </row>
    <row r="50">
      <c r="A50" s="15" t="s">
        <v>1409</v>
      </c>
      <c r="B50" s="15" t="s">
        <v>1410</v>
      </c>
      <c r="C50" s="15" t="s">
        <v>38</v>
      </c>
      <c r="D50" s="16">
        <v>35</v>
      </c>
      <c r="E50" s="16">
        <v>38</v>
      </c>
      <c r="F50" s="16">
        <v>42</v>
      </c>
      <c r="G50" s="17">
        <v>0</v>
      </c>
      <c r="H50" s="15">
        <f>G50*F50</f>
      </c>
      <c r="I50" s="17">
        <f>IF($H$2&gt;45000, D50*G50, IF($H$2&gt;15000, E50*G50, F50*G50)) </f>
      </c>
      <c r="J50" s="15" t="s">
        <v>38</v>
      </c>
      <c r="K50" t="s">
        <v>1411</v>
      </c>
    </row>
    <row r="51">
      <c r="A51" s="15" t="s">
        <v>1412</v>
      </c>
      <c r="B51" s="15" t="s">
        <v>1413</v>
      </c>
      <c r="C51" s="15" t="s">
        <v>38</v>
      </c>
      <c r="D51" s="16">
        <v>35</v>
      </c>
      <c r="E51" s="16">
        <v>38</v>
      </c>
      <c r="F51" s="16">
        <v>42</v>
      </c>
      <c r="G51" s="17">
        <v>0</v>
      </c>
      <c r="H51" s="15">
        <f>G51*F51</f>
      </c>
      <c r="I51" s="17">
        <f>IF($H$2&gt;45000, D51*G51, IF($H$2&gt;15000, E51*G51, F51*G51)) </f>
      </c>
      <c r="J51" s="15" t="s">
        <v>38</v>
      </c>
      <c r="K51" t="s">
        <v>1414</v>
      </c>
    </row>
    <row r="52">
      <c r="A52" s="15" t="s">
        <v>1415</v>
      </c>
      <c r="B52" s="15" t="s">
        <v>1416</v>
      </c>
      <c r="C52" s="15" t="s">
        <v>38</v>
      </c>
      <c r="D52" s="16">
        <v>35</v>
      </c>
      <c r="E52" s="16">
        <v>38</v>
      </c>
      <c r="F52" s="16">
        <v>42</v>
      </c>
      <c r="G52" s="17">
        <v>0</v>
      </c>
      <c r="H52" s="15">
        <f>G52*F52</f>
      </c>
      <c r="I52" s="17">
        <f>IF($H$2&gt;45000, D52*G52, IF($H$2&gt;15000, E52*G52, F52*G52)) </f>
      </c>
      <c r="J52" s="15" t="s">
        <v>38</v>
      </c>
      <c r="K52" t="s">
        <v>1417</v>
      </c>
    </row>
    <row r="53">
      <c r="A53" s="15" t="s">
        <v>1418</v>
      </c>
      <c r="B53" s="15" t="s">
        <v>1419</v>
      </c>
      <c r="C53" s="15" t="s">
        <v>38</v>
      </c>
      <c r="D53" s="16">
        <v>35</v>
      </c>
      <c r="E53" s="16">
        <v>38</v>
      </c>
      <c r="F53" s="16">
        <v>42</v>
      </c>
      <c r="G53" s="17">
        <v>0</v>
      </c>
      <c r="H53" s="15">
        <f>G53*F53</f>
      </c>
      <c r="I53" s="17">
        <f>IF($H$2&gt;45000, D53*G53, IF($H$2&gt;15000, E53*G53, F53*G53)) </f>
      </c>
      <c r="J53" s="15" t="s">
        <v>38</v>
      </c>
      <c r="K53" t="s">
        <v>1420</v>
      </c>
    </row>
    <row r="54">
      <c r="A54" s="15" t="s">
        <v>1421</v>
      </c>
      <c r="B54" s="15" t="s">
        <v>1422</v>
      </c>
      <c r="C54" s="15" t="s">
        <v>38</v>
      </c>
      <c r="D54" s="16">
        <v>35</v>
      </c>
      <c r="E54" s="16">
        <v>38</v>
      </c>
      <c r="F54" s="16">
        <v>42</v>
      </c>
      <c r="G54" s="17">
        <v>0</v>
      </c>
      <c r="H54" s="15">
        <f>G54*F54</f>
      </c>
      <c r="I54" s="17">
        <f>IF($H$2&gt;45000, D54*G54, IF($H$2&gt;15000, E54*G54, F54*G54)) </f>
      </c>
      <c r="J54" s="15" t="s">
        <v>38</v>
      </c>
      <c r="K54" t="s">
        <v>1423</v>
      </c>
    </row>
    <row r="55">
      <c r="A55" s="15" t="s">
        <v>1424</v>
      </c>
      <c r="B55" s="15" t="s">
        <v>1425</v>
      </c>
      <c r="C55" s="15" t="s">
        <v>38</v>
      </c>
      <c r="D55" s="16">
        <v>35</v>
      </c>
      <c r="E55" s="16">
        <v>38</v>
      </c>
      <c r="F55" s="16">
        <v>42</v>
      </c>
      <c r="G55" s="17">
        <v>0</v>
      </c>
      <c r="H55" s="15">
        <f>G55*F55</f>
      </c>
      <c r="I55" s="17">
        <f>IF($H$2&gt;45000, D55*G55, IF($H$2&gt;15000, E55*G55, F55*G55)) </f>
      </c>
      <c r="J55" s="15" t="s">
        <v>38</v>
      </c>
      <c r="K55" t="s">
        <v>1426</v>
      </c>
    </row>
    <row r="56">
      <c r="A56" s="15" t="s">
        <v>1427</v>
      </c>
      <c r="B56" s="15" t="s">
        <v>1428</v>
      </c>
      <c r="C56" s="15" t="s">
        <v>38</v>
      </c>
      <c r="D56" s="16">
        <v>35</v>
      </c>
      <c r="E56" s="16">
        <v>38</v>
      </c>
      <c r="F56" s="16">
        <v>42</v>
      </c>
      <c r="G56" s="17">
        <v>0</v>
      </c>
      <c r="H56" s="15">
        <f>G56*F56</f>
      </c>
      <c r="I56" s="17">
        <f>IF($H$2&gt;45000, D56*G56, IF($H$2&gt;15000, E56*G56, F56*G56)) </f>
      </c>
      <c r="J56" s="15" t="s">
        <v>38</v>
      </c>
      <c r="K56" t="s">
        <v>1429</v>
      </c>
    </row>
    <row r="57">
      <c r="A57" s="15" t="s">
        <v>1430</v>
      </c>
      <c r="B57" s="15" t="s">
        <v>1431</v>
      </c>
      <c r="C57" s="15" t="s">
        <v>38</v>
      </c>
      <c r="D57" s="16">
        <v>35</v>
      </c>
      <c r="E57" s="16">
        <v>38</v>
      </c>
      <c r="F57" s="16">
        <v>42</v>
      </c>
      <c r="G57" s="17">
        <v>0</v>
      </c>
      <c r="H57" s="15">
        <f>G57*F57</f>
      </c>
      <c r="I57" s="17">
        <f>IF($H$2&gt;45000, D57*G57, IF($H$2&gt;15000, E57*G57, F57*G57)) </f>
      </c>
      <c r="J57" s="15" t="s">
        <v>38</v>
      </c>
      <c r="K57" t="s">
        <v>1432</v>
      </c>
    </row>
    <row r="58">
      <c r="A58" s="15" t="s">
        <v>1433</v>
      </c>
      <c r="B58" s="15" t="s">
        <v>1434</v>
      </c>
      <c r="C58" s="15" t="s">
        <v>38</v>
      </c>
      <c r="D58" s="16">
        <v>35</v>
      </c>
      <c r="E58" s="16">
        <v>38</v>
      </c>
      <c r="F58" s="16">
        <v>42</v>
      </c>
      <c r="G58" s="17">
        <v>0</v>
      </c>
      <c r="H58" s="15">
        <f>G58*F58</f>
      </c>
      <c r="I58" s="17">
        <f>IF($H$2&gt;45000, D58*G58, IF($H$2&gt;15000, E58*G58, F58*G58)) </f>
      </c>
      <c r="J58" s="15" t="s">
        <v>38</v>
      </c>
      <c r="K58" t="s">
        <v>1435</v>
      </c>
    </row>
    <row r="59">
      <c r="A59" s="15" t="s">
        <v>1436</v>
      </c>
      <c r="B59" s="15" t="s">
        <v>1437</v>
      </c>
      <c r="C59" s="15" t="s">
        <v>38</v>
      </c>
      <c r="D59" s="16">
        <v>35</v>
      </c>
      <c r="E59" s="16">
        <v>38</v>
      </c>
      <c r="F59" s="16">
        <v>42</v>
      </c>
      <c r="G59" s="17">
        <v>0</v>
      </c>
      <c r="H59" s="15">
        <f>G59*F59</f>
      </c>
      <c r="I59" s="17">
        <f>IF($H$2&gt;45000, D59*G59, IF($H$2&gt;15000, E59*G59, F59*G59)) </f>
      </c>
      <c r="J59" s="15" t="s">
        <v>38</v>
      </c>
      <c r="K59" t="s">
        <v>1438</v>
      </c>
    </row>
    <row r="60">
      <c r="A60" s="15" t="s">
        <v>1439</v>
      </c>
      <c r="B60" s="15" t="s">
        <v>1440</v>
      </c>
      <c r="C60" s="15" t="s">
        <v>38</v>
      </c>
      <c r="D60" s="16">
        <v>35</v>
      </c>
      <c r="E60" s="16">
        <v>38</v>
      </c>
      <c r="F60" s="16">
        <v>42</v>
      </c>
      <c r="G60" s="17">
        <v>0</v>
      </c>
      <c r="H60" s="15">
        <f>G60*F60</f>
      </c>
      <c r="I60" s="17">
        <f>IF($H$2&gt;45000, D60*G60, IF($H$2&gt;15000, E60*G60, F60*G60)) </f>
      </c>
      <c r="J60" s="15" t="s">
        <v>38</v>
      </c>
      <c r="K60" t="s">
        <v>1441</v>
      </c>
    </row>
    <row r="61">
      <c r="A61" s="15" t="s">
        <v>1442</v>
      </c>
      <c r="B61" s="15" t="s">
        <v>1443</v>
      </c>
      <c r="C61" s="15" t="s">
        <v>38</v>
      </c>
      <c r="D61" s="16">
        <v>35</v>
      </c>
      <c r="E61" s="16">
        <v>38</v>
      </c>
      <c r="F61" s="16">
        <v>42</v>
      </c>
      <c r="G61" s="17">
        <v>0</v>
      </c>
      <c r="H61" s="15">
        <f>G61*F61</f>
      </c>
      <c r="I61" s="17">
        <f>IF($H$2&gt;45000, D61*G61, IF($H$2&gt;15000, E61*G61, F61*G61)) </f>
      </c>
      <c r="J61" s="15" t="s">
        <v>38</v>
      </c>
      <c r="K61" t="s">
        <v>1444</v>
      </c>
    </row>
    <row r="62">
      <c r="A62" s="15" t="s">
        <v>1445</v>
      </c>
      <c r="B62" s="15" t="s">
        <v>1446</v>
      </c>
      <c r="C62" s="15" t="s">
        <v>38</v>
      </c>
      <c r="D62" s="16">
        <v>35</v>
      </c>
      <c r="E62" s="16">
        <v>38</v>
      </c>
      <c r="F62" s="16">
        <v>42</v>
      </c>
      <c r="G62" s="17">
        <v>0</v>
      </c>
      <c r="H62" s="15">
        <f>G62*F62</f>
      </c>
      <c r="I62" s="17">
        <f>IF($H$2&gt;45000, D62*G62, IF($H$2&gt;15000, E62*G62, F62*G62)) </f>
      </c>
      <c r="J62" s="15" t="s">
        <v>38</v>
      </c>
      <c r="K62" t="s">
        <v>1447</v>
      </c>
    </row>
    <row r="63">
      <c r="A63" s="15" t="s">
        <v>1448</v>
      </c>
      <c r="B63" s="15" t="s">
        <v>1449</v>
      </c>
      <c r="C63" s="15" t="s">
        <v>38</v>
      </c>
      <c r="D63" s="16">
        <v>35</v>
      </c>
      <c r="E63" s="16">
        <v>38</v>
      </c>
      <c r="F63" s="16">
        <v>42</v>
      </c>
      <c r="G63" s="17">
        <v>0</v>
      </c>
      <c r="H63" s="15">
        <f>G63*F63</f>
      </c>
      <c r="I63" s="17">
        <f>IF($H$2&gt;45000, D63*G63, IF($H$2&gt;15000, E63*G63, F63*G63)) </f>
      </c>
      <c r="J63" s="15" t="s">
        <v>38</v>
      </c>
      <c r="K63" t="s">
        <v>1450</v>
      </c>
    </row>
    <row r="64">
      <c r="A64" s="15" t="s">
        <v>1451</v>
      </c>
      <c r="B64" s="15" t="s">
        <v>1452</v>
      </c>
      <c r="C64" s="15" t="s">
        <v>38</v>
      </c>
      <c r="D64" s="16">
        <v>35</v>
      </c>
      <c r="E64" s="16">
        <v>38</v>
      </c>
      <c r="F64" s="16">
        <v>42</v>
      </c>
      <c r="G64" s="17">
        <v>0</v>
      </c>
      <c r="H64" s="15">
        <f>G64*F64</f>
      </c>
      <c r="I64" s="17">
        <f>IF($H$2&gt;45000, D64*G64, IF($H$2&gt;15000, E64*G64, F64*G64)) </f>
      </c>
      <c r="J64" s="15" t="s">
        <v>38</v>
      </c>
      <c r="K64" t="s">
        <v>1453</v>
      </c>
    </row>
    <row r="65">
      <c r="A65" s="15" t="s">
        <v>1454</v>
      </c>
      <c r="B65" s="15" t="s">
        <v>1455</v>
      </c>
      <c r="C65" s="15" t="s">
        <v>38</v>
      </c>
      <c r="D65" s="16">
        <v>35</v>
      </c>
      <c r="E65" s="16">
        <v>38</v>
      </c>
      <c r="F65" s="16">
        <v>42</v>
      </c>
      <c r="G65" s="17">
        <v>0</v>
      </c>
      <c r="H65" s="15">
        <f>G65*F65</f>
      </c>
      <c r="I65" s="17">
        <f>IF($H$2&gt;45000, D65*G65, IF($H$2&gt;15000, E65*G65, F65*G65)) </f>
      </c>
      <c r="J65" s="15" t="s">
        <v>38</v>
      </c>
      <c r="K65" t="s">
        <v>1456</v>
      </c>
    </row>
    <row r="66">
      <c r="A66" s="15" t="s">
        <v>1457</v>
      </c>
      <c r="B66" s="15" t="s">
        <v>1458</v>
      </c>
      <c r="C66" s="15" t="s">
        <v>38</v>
      </c>
      <c r="D66" s="16">
        <v>35</v>
      </c>
      <c r="E66" s="16">
        <v>38</v>
      </c>
      <c r="F66" s="16">
        <v>42</v>
      </c>
      <c r="G66" s="17">
        <v>0</v>
      </c>
      <c r="H66" s="15">
        <f>G66*F66</f>
      </c>
      <c r="I66" s="17">
        <f>IF($H$2&gt;45000, D66*G66, IF($H$2&gt;15000, E66*G66, F66*G66)) </f>
      </c>
      <c r="J66" s="15" t="s">
        <v>38</v>
      </c>
      <c r="K66" t="s">
        <v>1459</v>
      </c>
    </row>
    <row r="67">
      <c r="A67" s="15" t="s">
        <v>1460</v>
      </c>
      <c r="B67" s="15" t="s">
        <v>1461</v>
      </c>
      <c r="C67" s="15" t="s">
        <v>38</v>
      </c>
      <c r="D67" s="16">
        <v>35</v>
      </c>
      <c r="E67" s="16">
        <v>38</v>
      </c>
      <c r="F67" s="16">
        <v>42</v>
      </c>
      <c r="G67" s="17">
        <v>0</v>
      </c>
      <c r="H67" s="15">
        <f>G67*F67</f>
      </c>
      <c r="I67" s="17">
        <f>IF($H$2&gt;45000, D67*G67, IF($H$2&gt;15000, E67*G67, F67*G67)) </f>
      </c>
      <c r="J67" s="15" t="s">
        <v>38</v>
      </c>
      <c r="K67" t="s">
        <v>1462</v>
      </c>
    </row>
    <row r="68">
      <c r="A68" s="15" t="s">
        <v>1463</v>
      </c>
      <c r="B68" s="15" t="s">
        <v>1464</v>
      </c>
      <c r="C68" s="15" t="s">
        <v>38</v>
      </c>
      <c r="D68" s="16">
        <v>35</v>
      </c>
      <c r="E68" s="16">
        <v>38</v>
      </c>
      <c r="F68" s="16">
        <v>42</v>
      </c>
      <c r="G68" s="17">
        <v>0</v>
      </c>
      <c r="H68" s="15">
        <f>G68*F68</f>
      </c>
      <c r="I68" s="17">
        <f>IF($H$2&gt;45000, D68*G68, IF($H$2&gt;15000, E68*G68, F68*G68)) </f>
      </c>
      <c r="J68" s="15" t="s">
        <v>38</v>
      </c>
      <c r="K68" t="s">
        <v>1465</v>
      </c>
    </row>
    <row r="69">
      <c r="A69" s="15" t="s">
        <v>1466</v>
      </c>
      <c r="B69" s="15" t="s">
        <v>1467</v>
      </c>
      <c r="C69" s="15" t="s">
        <v>38</v>
      </c>
      <c r="D69" s="16">
        <v>35</v>
      </c>
      <c r="E69" s="16">
        <v>38</v>
      </c>
      <c r="F69" s="16">
        <v>42</v>
      </c>
      <c r="G69" s="17">
        <v>0</v>
      </c>
      <c r="H69" s="15">
        <f>G69*F69</f>
      </c>
      <c r="I69" s="17">
        <f>IF($H$2&gt;45000, D69*G69, IF($H$2&gt;15000, E69*G69, F69*G69)) </f>
      </c>
      <c r="J69" s="15" t="s">
        <v>38</v>
      </c>
      <c r="K69" t="s">
        <v>1468</v>
      </c>
    </row>
    <row r="70">
      <c r="A70" s="15" t="s">
        <v>1469</v>
      </c>
      <c r="B70" s="15" t="s">
        <v>1470</v>
      </c>
      <c r="C70" s="15" t="s">
        <v>38</v>
      </c>
      <c r="D70" s="16">
        <v>35</v>
      </c>
      <c r="E70" s="16">
        <v>38</v>
      </c>
      <c r="F70" s="16">
        <v>42</v>
      </c>
      <c r="G70" s="17">
        <v>0</v>
      </c>
      <c r="H70" s="15">
        <f>G70*F70</f>
      </c>
      <c r="I70" s="17">
        <f>IF($H$2&gt;45000, D70*G70, IF($H$2&gt;15000, E70*G70, F70*G70)) </f>
      </c>
      <c r="J70" s="15" t="s">
        <v>38</v>
      </c>
      <c r="K70" t="s">
        <v>1471</v>
      </c>
    </row>
    <row r="71">
      <c r="A71" s="15" t="s">
        <v>1472</v>
      </c>
      <c r="B71" s="15" t="s">
        <v>1473</v>
      </c>
      <c r="C71" s="15" t="s">
        <v>38</v>
      </c>
      <c r="D71" s="16">
        <v>35</v>
      </c>
      <c r="E71" s="16">
        <v>38</v>
      </c>
      <c r="F71" s="16">
        <v>42</v>
      </c>
      <c r="G71" s="17">
        <v>0</v>
      </c>
      <c r="H71" s="15">
        <f>G71*F71</f>
      </c>
      <c r="I71" s="17">
        <f>IF($H$2&gt;45000, D71*G71, IF($H$2&gt;15000, E71*G71, F71*G71)) </f>
      </c>
      <c r="J71" s="15" t="s">
        <v>38</v>
      </c>
      <c r="K71" t="s">
        <v>1474</v>
      </c>
    </row>
    <row r="72">
      <c r="A72" s="15" t="s">
        <v>1475</v>
      </c>
      <c r="B72" s="15" t="s">
        <v>1476</v>
      </c>
      <c r="C72" s="15" t="s">
        <v>38</v>
      </c>
      <c r="D72" s="16">
        <v>35</v>
      </c>
      <c r="E72" s="16">
        <v>38</v>
      </c>
      <c r="F72" s="16">
        <v>42</v>
      </c>
      <c r="G72" s="17">
        <v>0</v>
      </c>
      <c r="H72" s="15">
        <f>G72*F72</f>
      </c>
      <c r="I72" s="17">
        <f>IF($H$2&gt;45000, D72*G72, IF($H$2&gt;15000, E72*G72, F72*G72)) </f>
      </c>
      <c r="J72" s="15" t="s">
        <v>38</v>
      </c>
      <c r="K72" t="s">
        <v>1477</v>
      </c>
    </row>
    <row r="73">
      <c r="A73" s="15" t="s">
        <v>1478</v>
      </c>
      <c r="B73" s="15" t="s">
        <v>1479</v>
      </c>
      <c r="C73" s="15" t="s">
        <v>38</v>
      </c>
      <c r="D73" s="16">
        <v>35</v>
      </c>
      <c r="E73" s="16">
        <v>38</v>
      </c>
      <c r="F73" s="16">
        <v>42</v>
      </c>
      <c r="G73" s="17">
        <v>0</v>
      </c>
      <c r="H73" s="15">
        <f>G73*F73</f>
      </c>
      <c r="I73" s="17">
        <f>IF($H$2&gt;45000, D73*G73, IF($H$2&gt;15000, E73*G73, F73*G73)) </f>
      </c>
      <c r="J73" s="15" t="s">
        <v>38</v>
      </c>
      <c r="K73" t="s">
        <v>1480</v>
      </c>
    </row>
    <row r="74">
      <c r="A74" s="15" t="s">
        <v>1481</v>
      </c>
      <c r="B74" s="15" t="s">
        <v>1482</v>
      </c>
      <c r="C74" s="15" t="s">
        <v>38</v>
      </c>
      <c r="D74" s="16">
        <v>35</v>
      </c>
      <c r="E74" s="16">
        <v>38</v>
      </c>
      <c r="F74" s="16">
        <v>42</v>
      </c>
      <c r="G74" s="17">
        <v>0</v>
      </c>
      <c r="H74" s="15">
        <f>G74*F74</f>
      </c>
      <c r="I74" s="17">
        <f>IF($H$2&gt;45000, D74*G74, IF($H$2&gt;15000, E74*G74, F74*G74)) </f>
      </c>
      <c r="J74" s="15" t="s">
        <v>38</v>
      </c>
      <c r="K74" t="s">
        <v>1483</v>
      </c>
    </row>
    <row r="75">
      <c r="A75" s="15" t="s">
        <v>1484</v>
      </c>
      <c r="B75" s="15" t="s">
        <v>1485</v>
      </c>
      <c r="C75" s="15" t="s">
        <v>38</v>
      </c>
      <c r="D75" s="16">
        <v>35</v>
      </c>
      <c r="E75" s="16">
        <v>38</v>
      </c>
      <c r="F75" s="16">
        <v>42</v>
      </c>
      <c r="G75" s="17">
        <v>0</v>
      </c>
      <c r="H75" s="15">
        <f>G75*F75</f>
      </c>
      <c r="I75" s="17">
        <f>IF($H$2&gt;45000, D75*G75, IF($H$2&gt;15000, E75*G75, F75*G75)) </f>
      </c>
      <c r="J75" s="15" t="s">
        <v>38</v>
      </c>
      <c r="K75" t="s">
        <v>1486</v>
      </c>
    </row>
    <row r="76">
      <c r="A76" s="15" t="s">
        <v>1487</v>
      </c>
      <c r="B76" s="15" t="s">
        <v>1488</v>
      </c>
      <c r="C76" s="15" t="s">
        <v>38</v>
      </c>
      <c r="D76" s="16">
        <v>35</v>
      </c>
      <c r="E76" s="16">
        <v>38</v>
      </c>
      <c r="F76" s="16">
        <v>42</v>
      </c>
      <c r="G76" s="17">
        <v>0</v>
      </c>
      <c r="H76" s="15">
        <f>G76*F76</f>
      </c>
      <c r="I76" s="17">
        <f>IF($H$2&gt;45000, D76*G76, IF($H$2&gt;15000, E76*G76, F76*G76)) </f>
      </c>
      <c r="J76" s="15" t="s">
        <v>38</v>
      </c>
      <c r="K76" t="s">
        <v>1489</v>
      </c>
    </row>
    <row r="77">
      <c r="A77" s="15" t="s">
        <v>1490</v>
      </c>
      <c r="B77" s="15" t="s">
        <v>1491</v>
      </c>
      <c r="C77" s="15" t="s">
        <v>38</v>
      </c>
      <c r="D77" s="16">
        <v>35</v>
      </c>
      <c r="E77" s="16">
        <v>38</v>
      </c>
      <c r="F77" s="16">
        <v>42</v>
      </c>
      <c r="G77" s="17">
        <v>0</v>
      </c>
      <c r="H77" s="15">
        <f>G77*F77</f>
      </c>
      <c r="I77" s="17">
        <f>IF($H$2&gt;45000, D77*G77, IF($H$2&gt;15000, E77*G77, F77*G77)) </f>
      </c>
      <c r="J77" s="15" t="s">
        <v>38</v>
      </c>
      <c r="K77" t="s">
        <v>1492</v>
      </c>
    </row>
    <row r="78">
      <c r="A78" s="15" t="s">
        <v>1493</v>
      </c>
      <c r="B78" s="15" t="s">
        <v>1494</v>
      </c>
      <c r="C78" s="15" t="s">
        <v>38</v>
      </c>
      <c r="D78" s="16">
        <v>35</v>
      </c>
      <c r="E78" s="16">
        <v>38</v>
      </c>
      <c r="F78" s="16">
        <v>42</v>
      </c>
      <c r="G78" s="17">
        <v>0</v>
      </c>
      <c r="H78" s="15">
        <f>G78*F78</f>
      </c>
      <c r="I78" s="17">
        <f>IF($H$2&gt;45000, D78*G78, IF($H$2&gt;15000, E78*G78, F78*G78)) </f>
      </c>
      <c r="J78" s="15" t="s">
        <v>38</v>
      </c>
      <c r="K78" t="s">
        <v>1495</v>
      </c>
    </row>
    <row r="79">
      <c r="A79" s="15" t="s">
        <v>1496</v>
      </c>
      <c r="B79" s="15" t="s">
        <v>1497</v>
      </c>
      <c r="C79" s="15" t="s">
        <v>38</v>
      </c>
      <c r="D79" s="16">
        <v>35</v>
      </c>
      <c r="E79" s="16">
        <v>38</v>
      </c>
      <c r="F79" s="16">
        <v>42</v>
      </c>
      <c r="G79" s="17">
        <v>0</v>
      </c>
      <c r="H79" s="15">
        <f>G79*F79</f>
      </c>
      <c r="I79" s="17">
        <f>IF($H$2&gt;45000, D79*G79, IF($H$2&gt;15000, E79*G79, F79*G79)) </f>
      </c>
      <c r="J79" s="15" t="s">
        <v>38</v>
      </c>
      <c r="K79" t="s">
        <v>1498</v>
      </c>
    </row>
    <row r="80">
      <c r="A80" s="15" t="s">
        <v>1499</v>
      </c>
      <c r="B80" s="15" t="s">
        <v>1500</v>
      </c>
      <c r="C80" s="15" t="s">
        <v>38</v>
      </c>
      <c r="D80" s="16">
        <v>35</v>
      </c>
      <c r="E80" s="16">
        <v>38</v>
      </c>
      <c r="F80" s="16">
        <v>42</v>
      </c>
      <c r="G80" s="17">
        <v>0</v>
      </c>
      <c r="H80" s="15">
        <f>G80*F80</f>
      </c>
      <c r="I80" s="17">
        <f>IF($H$2&gt;45000, D80*G80, IF($H$2&gt;15000, E80*G80, F80*G80)) </f>
      </c>
      <c r="J80" s="15" t="s">
        <v>38</v>
      </c>
      <c r="K80" t="s">
        <v>1501</v>
      </c>
    </row>
    <row r="81">
      <c r="A81" s="15" t="s">
        <v>1502</v>
      </c>
      <c r="B81" s="15" t="s">
        <v>1503</v>
      </c>
      <c r="C81" s="15" t="s">
        <v>38</v>
      </c>
      <c r="D81" s="16">
        <v>35</v>
      </c>
      <c r="E81" s="16">
        <v>38</v>
      </c>
      <c r="F81" s="16">
        <v>42</v>
      </c>
      <c r="G81" s="17">
        <v>0</v>
      </c>
      <c r="H81" s="15">
        <f>G81*F81</f>
      </c>
      <c r="I81" s="17">
        <f>IF($H$2&gt;45000, D81*G81, IF($H$2&gt;15000, E81*G81, F81*G81)) </f>
      </c>
      <c r="J81" s="15" t="s">
        <v>38</v>
      </c>
      <c r="K81" t="s">
        <v>1504</v>
      </c>
    </row>
    <row r="82">
      <c r="A82" s="15" t="s">
        <v>1505</v>
      </c>
      <c r="B82" s="15" t="s">
        <v>1506</v>
      </c>
      <c r="C82" s="15" t="s">
        <v>38</v>
      </c>
      <c r="D82" s="16">
        <v>35</v>
      </c>
      <c r="E82" s="16">
        <v>38</v>
      </c>
      <c r="F82" s="16">
        <v>42</v>
      </c>
      <c r="G82" s="17">
        <v>0</v>
      </c>
      <c r="H82" s="15">
        <f>G82*F82</f>
      </c>
      <c r="I82" s="17">
        <f>IF($H$2&gt;45000, D82*G82, IF($H$2&gt;15000, E82*G82, F82*G82)) </f>
      </c>
      <c r="J82" s="15" t="s">
        <v>38</v>
      </c>
      <c r="K82" t="s">
        <v>1507</v>
      </c>
    </row>
    <row r="83">
      <c r="A83" s="15" t="s">
        <v>1508</v>
      </c>
      <c r="B83" s="15" t="s">
        <v>1509</v>
      </c>
      <c r="C83" s="15" t="s">
        <v>38</v>
      </c>
      <c r="D83" s="16">
        <v>35</v>
      </c>
      <c r="E83" s="16">
        <v>38</v>
      </c>
      <c r="F83" s="16">
        <v>42</v>
      </c>
      <c r="G83" s="17">
        <v>0</v>
      </c>
      <c r="H83" s="15">
        <f>G83*F83</f>
      </c>
      <c r="I83" s="17">
        <f>IF($H$2&gt;45000, D83*G83, IF($H$2&gt;15000, E83*G83, F83*G83)) </f>
      </c>
      <c r="J83" s="15" t="s">
        <v>38</v>
      </c>
      <c r="K83" t="s">
        <v>1510</v>
      </c>
    </row>
    <row r="84">
      <c r="A84" s="15" t="s">
        <v>1511</v>
      </c>
      <c r="B84" s="15" t="s">
        <v>1512</v>
      </c>
      <c r="C84" s="15" t="s">
        <v>38</v>
      </c>
      <c r="D84" s="16">
        <v>35</v>
      </c>
      <c r="E84" s="16">
        <v>38</v>
      </c>
      <c r="F84" s="16">
        <v>42</v>
      </c>
      <c r="G84" s="17">
        <v>0</v>
      </c>
      <c r="H84" s="15">
        <f>G84*F84</f>
      </c>
      <c r="I84" s="17">
        <f>IF($H$2&gt;45000, D84*G84, IF($H$2&gt;15000, E84*G84, F84*G84)) </f>
      </c>
      <c r="J84" s="15" t="s">
        <v>38</v>
      </c>
      <c r="K84" t="s">
        <v>1513</v>
      </c>
    </row>
    <row r="85">
      <c r="A85" s="15" t="s">
        <v>1514</v>
      </c>
      <c r="B85" s="15" t="s">
        <v>1515</v>
      </c>
      <c r="C85" s="15" t="s">
        <v>38</v>
      </c>
      <c r="D85" s="16">
        <v>35</v>
      </c>
      <c r="E85" s="16">
        <v>38</v>
      </c>
      <c r="F85" s="16">
        <v>42</v>
      </c>
      <c r="G85" s="17">
        <v>0</v>
      </c>
      <c r="H85" s="15">
        <f>G85*F85</f>
      </c>
      <c r="I85" s="17">
        <f>IF($H$2&gt;45000, D85*G85, IF($H$2&gt;15000, E85*G85, F85*G85)) </f>
      </c>
      <c r="J85" s="15" t="s">
        <v>38</v>
      </c>
      <c r="K85" t="s">
        <v>1516</v>
      </c>
    </row>
    <row r="86">
      <c r="A86" s="15" t="s">
        <v>1517</v>
      </c>
      <c r="B86" s="15" t="s">
        <v>1518</v>
      </c>
      <c r="C86" s="15" t="s">
        <v>38</v>
      </c>
      <c r="D86" s="16">
        <v>35</v>
      </c>
      <c r="E86" s="16">
        <v>38</v>
      </c>
      <c r="F86" s="16">
        <v>42</v>
      </c>
      <c r="G86" s="17">
        <v>0</v>
      </c>
      <c r="H86" s="15">
        <f>G86*F86</f>
      </c>
      <c r="I86" s="17">
        <f>IF($H$2&gt;45000, D86*G86, IF($H$2&gt;15000, E86*G86, F86*G86)) </f>
      </c>
      <c r="J86" s="15" t="s">
        <v>38</v>
      </c>
      <c r="K86" t="s">
        <v>1519</v>
      </c>
    </row>
    <row r="87">
      <c r="A87" s="15" t="s">
        <v>1520</v>
      </c>
      <c r="B87" s="15" t="s">
        <v>1521</v>
      </c>
      <c r="C87" s="15" t="s">
        <v>38</v>
      </c>
      <c r="D87" s="16">
        <v>35</v>
      </c>
      <c r="E87" s="16">
        <v>38</v>
      </c>
      <c r="F87" s="16">
        <v>42</v>
      </c>
      <c r="G87" s="17">
        <v>0</v>
      </c>
      <c r="H87" s="15">
        <f>G87*F87</f>
      </c>
      <c r="I87" s="17">
        <f>IF($H$2&gt;45000, D87*G87, IF($H$2&gt;15000, E87*G87, F87*G87)) </f>
      </c>
      <c r="J87" s="15" t="s">
        <v>38</v>
      </c>
      <c r="K87" t="s">
        <v>1522</v>
      </c>
    </row>
    <row r="88">
      <c r="A88" s="15" t="s">
        <v>1523</v>
      </c>
      <c r="B88" s="15" t="s">
        <v>1524</v>
      </c>
      <c r="C88" s="15" t="s">
        <v>38</v>
      </c>
      <c r="D88" s="16">
        <v>35</v>
      </c>
      <c r="E88" s="16">
        <v>38</v>
      </c>
      <c r="F88" s="16">
        <v>42</v>
      </c>
      <c r="G88" s="17">
        <v>0</v>
      </c>
      <c r="H88" s="15">
        <f>G88*F88</f>
      </c>
      <c r="I88" s="17">
        <f>IF($H$2&gt;45000, D88*G88, IF($H$2&gt;15000, E88*G88, F88*G88)) </f>
      </c>
      <c r="J88" s="15" t="s">
        <v>38</v>
      </c>
      <c r="K88" t="s">
        <v>1525</v>
      </c>
    </row>
    <row r="89">
      <c r="A89" s="15" t="s">
        <v>1526</v>
      </c>
      <c r="B89" s="15" t="s">
        <v>1527</v>
      </c>
      <c r="C89" s="15" t="s">
        <v>38</v>
      </c>
      <c r="D89" s="16">
        <v>35</v>
      </c>
      <c r="E89" s="16">
        <v>38</v>
      </c>
      <c r="F89" s="16">
        <v>42</v>
      </c>
      <c r="G89" s="17">
        <v>0</v>
      </c>
      <c r="H89" s="15">
        <f>G89*F89</f>
      </c>
      <c r="I89" s="17">
        <f>IF($H$2&gt;45000, D89*G89, IF($H$2&gt;15000, E89*G89, F89*G89)) </f>
      </c>
      <c r="J89" s="15" t="s">
        <v>38</v>
      </c>
      <c r="K89" t="s">
        <v>1528</v>
      </c>
    </row>
    <row r="90">
      <c r="A90" s="15" t="s">
        <v>1529</v>
      </c>
      <c r="B90" s="15" t="s">
        <v>1530</v>
      </c>
      <c r="C90" s="15" t="s">
        <v>38</v>
      </c>
      <c r="D90" s="16">
        <v>35</v>
      </c>
      <c r="E90" s="16">
        <v>38</v>
      </c>
      <c r="F90" s="16">
        <v>42</v>
      </c>
      <c r="G90" s="17">
        <v>0</v>
      </c>
      <c r="H90" s="15">
        <f>G90*F90</f>
      </c>
      <c r="I90" s="17">
        <f>IF($H$2&gt;45000, D90*G90, IF($H$2&gt;15000, E90*G90, F90*G90)) </f>
      </c>
      <c r="J90" s="15" t="s">
        <v>38</v>
      </c>
      <c r="K90" t="s">
        <v>1531</v>
      </c>
    </row>
    <row r="91"/>
    <row r="92">
      <c r="A92" s="12" t="s">
        <v>35</v>
      </c>
    </row>
  </sheetData>
  <mergeCells count="2">
    <mergeCell ref="A4:J4"/>
    <mergeCell ref="A92:J92"/>
  </mergeCells>
  <hyperlinks>
    <hyperlink ref="A4" location="ОГЛАВЛЕНИЕ!A1"/>
    <hyperlink ref="A92" location="ОГЛАВЛЕНИЕ!A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