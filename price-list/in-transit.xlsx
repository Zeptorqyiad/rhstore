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<sst xmlns="http://schemas.openxmlformats.org/spreadsheetml/2006/main" count="313" uniqueCount="313">
  <si>
    <t>Код</t>
  </si>
  <si>
    <t>Наименование</t>
  </si>
  <si>
    <t>Совместимость</t>
  </si>
  <si>
    <t>от 45 тыс. руб.</t>
  </si>
  <si>
    <t>от 15 тыс. руб.</t>
  </si>
  <si>
    <t>от 10 тыс. руб.</t>
  </si>
  <si>
    <t>Заказ</t>
  </si>
  <si>
    <t>Сумма_</t>
  </si>
  <si>
    <t>Сумма</t>
  </si>
  <si>
    <t>Ваш комментарий</t>
  </si>
  <si>
    <t>ТН_Номенклатура</t>
  </si>
  <si>
    <t>ТН_Характеристика</t>
  </si>
  <si>
    <t>Итог</t>
  </si>
  <si>
    <t>Защитные стекла</t>
  </si>
  <si>
    <t>G-Rhino 6D</t>
  </si>
  <si>
    <t>G-Rhino 6D в техпаке</t>
  </si>
  <si>
    <t>00-00001841</t>
  </si>
  <si>
    <t>Стекло G-Rhino 6D l Xiaomi Redmi 15 / Poco M7 4G</t>
  </si>
  <si>
    <t/>
  </si>
  <si>
    <t>{"#",190a7469-3325-4d33-b5ec-28a63ac83b06,283:827d00155d46f85011f09ec2b3728178}</t>
  </si>
  <si>
    <t>00-00001842</t>
  </si>
  <si>
    <t>Стекло G-Rhino 6D l Xiaomi Redmi 15C</t>
  </si>
  <si>
    <t>{"#",190a7469-3325-4d33-b5ec-28a63ac83b06,283:827d00155d46f85011f09ec2b96789fc}</t>
  </si>
  <si>
    <t>00-00001151</t>
  </si>
  <si>
    <t>Стекло G-Rhino 6D l Xiaomi Redmi 8/8a</t>
  </si>
  <si>
    <t>{"#",190a7469-3325-4d33-b5ec-28a63ac83b06,283:84f100155d46f6e511f09d4f8133407c}</t>
  </si>
  <si>
    <t>G-Rhino 6D в упаковке</t>
  </si>
  <si>
    <t>00-00001415</t>
  </si>
  <si>
    <t>Стекло в упаковке G-Rhino 6D l Google Pixel 6</t>
  </si>
  <si>
    <t>{"#",190a7469-3325-4d33-b5ec-28a63ac83b06,283:84f100155d46f6e511f09d4fa18a0e78}</t>
  </si>
  <si>
    <t>00-00001416</t>
  </si>
  <si>
    <t>Стекло в упаковке G-Rhino 6D l Google Pixel 6a / Pixel 7a</t>
  </si>
  <si>
    <t>{"#",190a7469-3325-4d33-b5ec-28a63ac83b06,283:84f100155d46f6e511f09d4fa1a2cf58}</t>
  </si>
  <si>
    <t>00-00001417</t>
  </si>
  <si>
    <t>Стекло в упаковке G-Rhino 6D l Google Pixel 7</t>
  </si>
  <si>
    <t>{"#",190a7469-3325-4d33-b5ec-28a63ac83b06,283:84f100155d46f6e511f09d4fa1bcf6c6}</t>
  </si>
  <si>
    <t>00-00001419</t>
  </si>
  <si>
    <t>Стекло в упаковке G-Rhino 6D l Google Pixel 8 Pro (330 glue)</t>
  </si>
  <si>
    <t>{"#",190a7469-3325-4d33-b5ec-28a63ac83b06,283:84f100155d46f6e511f09d4fa1ef0e4a}</t>
  </si>
  <si>
    <t>00-00001420</t>
  </si>
  <si>
    <t>Стекло в упаковке G-Rhino 6D l Google Pixel 8a (330 glue)</t>
  </si>
  <si>
    <t>{"#",190a7469-3325-4d33-b5ec-28a63ac83b06,283:84f100155d46f6e511f09d4fa2086f16}</t>
  </si>
  <si>
    <t>00-00001421</t>
  </si>
  <si>
    <t>Стекло в упаковке G-Rhino 6D l Google Pixel 9 / 9 Pro</t>
  </si>
  <si>
    <t>{"#",190a7469-3325-4d33-b5ec-28a63ac83b06,283:84f100155d46f6e511f09d4fa221e608}</t>
  </si>
  <si>
    <t>00-00001422</t>
  </si>
  <si>
    <t>Стекло в упаковке G-Rhino 6D l Google Pixel 9 Pro XL</t>
  </si>
  <si>
    <t>{"#",190a7469-3325-4d33-b5ec-28a63ac83b06,283:84f100155d46f6e511f09d4fa23a83a2}</t>
  </si>
  <si>
    <t>00-00001423</t>
  </si>
  <si>
    <t>Стекло в упаковке G-Rhino 6D l Google Pixel 9a (330 glue)</t>
  </si>
  <si>
    <t>{"#",190a7469-3325-4d33-b5ec-28a63ac83b06,283:84f100155d46f6e511f09d4fa253b5de}</t>
  </si>
  <si>
    <t>00-00001425</t>
  </si>
  <si>
    <t>Стекло в упаковке G-Rhino 6D l Honor 10 Lite / 20e / 10i / 20i / Huawei P Smart 2019 / P Smart 2020</t>
  </si>
  <si>
    <t>{"#",190a7469-3325-4d33-b5ec-28a63ac83b06,283:84f100155d46f6e511f09d4fa2858bae}</t>
  </si>
  <si>
    <t>00-00001427</t>
  </si>
  <si>
    <t>Стекло в упаковке G-Rhino 6D l Honor 20 / 20 Pro / Nova 5T</t>
  </si>
  <si>
    <t>{"#",190a7469-3325-4d33-b5ec-28a63ac83b06,283:84f100155d46f6e511f09d4fa2bb0fcc}</t>
  </si>
  <si>
    <t>00-00001431</t>
  </si>
  <si>
    <t>Стекло в упаковке G-Rhino 6D l Honor 8X / 9X Lite / Huawei Y9 2019</t>
  </si>
  <si>
    <t>{"#",190a7469-3325-4d33-b5ec-28a63ac83b06,283:84f100155d46f6e511f09d4fa32704b6}</t>
  </si>
  <si>
    <t>00-00001433</t>
  </si>
  <si>
    <t>Стекло в упаковке G-Rhino 6D l Honor 9x / 9x Pro / P Smart Z / Y9s</t>
  </si>
  <si>
    <t>{"#",190a7469-3325-4d33-b5ec-28a63ac83b06,283:84f100155d46f6e511f09d4fa35a5ad2}</t>
  </si>
  <si>
    <t>00-00001455</t>
  </si>
  <si>
    <t>Стекло в упаковке G-Rhino 6D l Huawei Pura 70</t>
  </si>
  <si>
    <t>{"#",190a7469-3325-4d33-b5ec-28a63ac83b06,283:84f100155d46f6e511f09d4fa57cc3fe}</t>
  </si>
  <si>
    <t>00-00001466</t>
  </si>
  <si>
    <t>Стекло в упаковке G-Rhino 6D l Infinix Note 30 Pro / Note 30 VIP</t>
  </si>
  <si>
    <t>{"#",190a7469-3325-4d33-b5ec-28a63ac83b06,283:84f100155d46f6e511f09d4fa69e1bf2}</t>
  </si>
  <si>
    <t>00-00001467</t>
  </si>
  <si>
    <t>Стекло в упаковке G-Rhino 6D l Infinix Note 30i</t>
  </si>
  <si>
    <t>{"#",190a7469-3325-4d33-b5ec-28a63ac83b06,283:84f100155d46f6e511f09d4fa6b70b94}</t>
  </si>
  <si>
    <t>00-00001473</t>
  </si>
  <si>
    <t>Стекло в упаковке G-Rhino 6D l iPhone 13 / 13 Pro / 14 / 16e</t>
  </si>
  <si>
    <t>{"#",190a7469-3325-4d33-b5ec-28a63ac83b06,283:84f100155d46f6e511f09d4fa762932e}</t>
  </si>
  <si>
    <t>00-00001482</t>
  </si>
  <si>
    <t>Стекло в упаковке G-Rhino 6D l iPhone 16 (380 glue)</t>
  </si>
  <si>
    <t>{"#",190a7469-3325-4d33-b5ec-28a63ac83b06,283:84f100155d46f6e511f09d4fa84162de}</t>
  </si>
  <si>
    <t>00-00001503</t>
  </si>
  <si>
    <t>Стекло в упаковке G-Rhino 6D l Nothing Phone 1 (330 glue)</t>
  </si>
  <si>
    <t>{"#",190a7469-3325-4d33-b5ec-28a63ac83b06,283:84f100155d46f6e511f09d4faa504ac2}</t>
  </si>
  <si>
    <t>00-00001504</t>
  </si>
  <si>
    <t>Стекло в упаковке G-Rhino 6D l Nothing Phone 2</t>
  </si>
  <si>
    <t>{"#",190a7469-3325-4d33-b5ec-28a63ac83b06,283:84f100155d46f6e511f09d4faa68cffc}</t>
  </si>
  <si>
    <t>00-00001506</t>
  </si>
  <si>
    <t>Стекло в упаковке G-Rhino 6D l Nothing Phone 3a / 3a Pro / CMF Phone 2 Pro (330 glue)</t>
  </si>
  <si>
    <t>{"#",190a7469-3325-4d33-b5ec-28a63ac83b06,283:84f100155d46f6e511f09d4faa9a75ca}</t>
  </si>
  <si>
    <t>00-00001516</t>
  </si>
  <si>
    <t>Стекло в упаковке G-Rhino 6D l OnePlus 9R (330 glue)</t>
  </si>
  <si>
    <t>{"#",190a7469-3325-4d33-b5ec-28a63ac83b06,283:84f100155d46f6e511f09d4fabcb271e}</t>
  </si>
  <si>
    <t>00-00001519</t>
  </si>
  <si>
    <t>Стекло в упаковке G-Rhino 6D l OnePlus Nord 3 / CE 3 (330 glue)</t>
  </si>
  <si>
    <t>{"#",190a7469-3325-4d33-b5ec-28a63ac83b06,283:84f100155d46f6e511f09d4fac1c7bbe}</t>
  </si>
  <si>
    <t>00-00001520</t>
  </si>
  <si>
    <t>Стекло в упаковке G-Rhino 6D l OnePlus Nord 4 (330 glue)</t>
  </si>
  <si>
    <t>{"#",190a7469-3325-4d33-b5ec-28a63ac83b06,283:84f100155d46f6e511f09d4fac35a292}</t>
  </si>
  <si>
    <t>00-00001533</t>
  </si>
  <si>
    <t>Стекло в упаковке G-Rhino 6D l Realme 10 Pro 5G</t>
  </si>
  <si>
    <t>{"#",190a7469-3325-4d33-b5ec-28a63ac83b06,283:84f100155d46f6e511f09d4fad87c15c}</t>
  </si>
  <si>
    <t>00-00001536</t>
  </si>
  <si>
    <t>Стекло в упаковке G-Rhino 6D l Realme 14 / 14T / P3 / Oppo Reno 13F</t>
  </si>
  <si>
    <t>{"#",190a7469-3325-4d33-b5ec-28a63ac83b06,283:84f100155d46f6e511f09d4fadd33d62}</t>
  </si>
  <si>
    <t>00-00001539</t>
  </si>
  <si>
    <t>Стекло в упаковке G-Rhino 6D l Realme 8 / 8 Pro / 9 / 9 Pro + / 10 / 11 4G / F19</t>
  </si>
  <si>
    <t>{"#",190a7469-3325-4d33-b5ec-28a63ac83b06,283:84f100155d46f6e511f09d4fae1e7d54}</t>
  </si>
  <si>
    <t>00-00001541</t>
  </si>
  <si>
    <t>Стекло в упаковке G-Rhino 6D l Realme 8i / 7i / OPPO A53/A54/A55</t>
  </si>
  <si>
    <t>{"#",190a7469-3325-4d33-b5ec-28a63ac83b06,283:84f100155d46f6e511f09d4fae4fcef4}</t>
  </si>
  <si>
    <t>00-00001549</t>
  </si>
  <si>
    <t>Стекло в упаковке G-Rhino 6D l Realme GT Neo2 / Neo 3T / OnePlus 9RT (330 glue)</t>
  </si>
  <si>
    <t>{"#",190a7469-3325-4d33-b5ec-28a63ac83b06,283:84f100155d46f6e511f09d4fafb320fc}</t>
  </si>
  <si>
    <t>00-00001559</t>
  </si>
  <si>
    <t>Стекло в упаковке G-Rhino 6D l Samsung A12 / M12 / A32 5G</t>
  </si>
  <si>
    <t>{"#",190a7469-3325-4d33-b5ec-28a63ac83b06,283:84f100155d46f6e511f09d4fb0bd0f80}</t>
  </si>
  <si>
    <t>00-00001569</t>
  </si>
  <si>
    <t>Стекло в упаковке G-Rhino 6D l Samsung A31 / A32 / A22 / M32</t>
  </si>
  <si>
    <t>{"#",190a7469-3325-4d33-b5ec-28a63ac83b06,283:84f100155d46f6e511f09d4fb1e42c40}</t>
  </si>
  <si>
    <t>00-00001579</t>
  </si>
  <si>
    <t>Стекло в упаковке G-Rhino 6D l Samsung A35 / A55</t>
  </si>
  <si>
    <t>{"#",190a7469-3325-4d33-b5ec-28a63ac83b06,283:84f100155d46f6e511f09d4fb2ec96cc}</t>
  </si>
  <si>
    <t>00-00001576</t>
  </si>
  <si>
    <t>Стекло в упаковке G-Rhino 6D l Samsung A52</t>
  </si>
  <si>
    <t>{"#",190a7469-3325-4d33-b5ec-28a63ac83b06,283:84f100155d46f6e511f09d4fb2954f84}</t>
  </si>
  <si>
    <t>00-00001577</t>
  </si>
  <si>
    <t>Стекло в упаковке G-Rhino 6D l Samsung A53</t>
  </si>
  <si>
    <t>{"#",190a7469-3325-4d33-b5ec-28a63ac83b06,283:84f100155d46f6e511f09d4fb2b9c6a2}</t>
  </si>
  <si>
    <t>00-00001578</t>
  </si>
  <si>
    <t>Стекло в упаковке G-Rhino 6D l Samsung A54 / S23 FE</t>
  </si>
  <si>
    <t>{"#",190a7469-3325-4d33-b5ec-28a63ac83b06,283:84f100155d46f6e511f09d4fb2d54be8}</t>
  </si>
  <si>
    <t>00-00001587</t>
  </si>
  <si>
    <t>Стекло в упаковке G-Rhino 6D l Samsung A73</t>
  </si>
  <si>
    <t>{"#",190a7469-3325-4d33-b5ec-28a63ac83b06,283:84f100155d46f6e511f09d4fb3b82d8c}</t>
  </si>
  <si>
    <t>00-00001594</t>
  </si>
  <si>
    <t>Стекло в упаковке G-Rhino 6D l Samsung S20 FE</t>
  </si>
  <si>
    <t>{"#",190a7469-3325-4d33-b5ec-28a63ac83b06,283:84f100155d46f6e511f09d4fb478b2fa}</t>
  </si>
  <si>
    <t>00-00001596</t>
  </si>
  <si>
    <t>Стекло в упаковке G-Rhino 6D l Samsung S22 / S23</t>
  </si>
  <si>
    <t>{"#",190a7469-3325-4d33-b5ec-28a63ac83b06,283:84f100155d46f6e511f09d4fb4ab279e}</t>
  </si>
  <si>
    <t>00-00001597</t>
  </si>
  <si>
    <t>Стекло в упаковке G-Rhino 6D l Samsung S22+ / S23+</t>
  </si>
  <si>
    <t>{"#",190a7469-3325-4d33-b5ec-28a63ac83b06,283:84f100155d46f6e511f09d4fb4c4ac8c}</t>
  </si>
  <si>
    <t>00-00001982</t>
  </si>
  <si>
    <t>Стекло в упаковке G-Rhino 6D l Samsung S26 / S26 Pro</t>
  </si>
  <si>
    <t>{"#",190a7469-3325-4d33-b5ec-28a63ac83b06,283:958200155d542f7f11f0b4de095aa0e4}</t>
  </si>
  <si>
    <t>00-00001984</t>
  </si>
  <si>
    <t>Стекло в упаковке G-Rhino 6D l Samsung S26 Edge</t>
  </si>
  <si>
    <t>{"#",190a7469-3325-4d33-b5ec-28a63ac83b06,283:958200155d542f7f11f0b4de19753d54}</t>
  </si>
  <si>
    <t>00-00001983</t>
  </si>
  <si>
    <t>Стекло в упаковке G-Rhino 6D l Samsung S26 Ultra</t>
  </si>
  <si>
    <t>{"#",190a7469-3325-4d33-b5ec-28a63ac83b06,283:958200155d542f7f11f0b4de14681818}</t>
  </si>
  <si>
    <t>00-00001605</t>
  </si>
  <si>
    <t>Стекло в упаковке G-Rhino 6D l Tecno Camon 40 (330 glue)</t>
  </si>
  <si>
    <t>{"#",190a7469-3325-4d33-b5ec-28a63ac83b06,283:84f100155d46f6e511f09d4fb59207f4}</t>
  </si>
  <si>
    <t>00-00001606</t>
  </si>
  <si>
    <t>Стекло в упаковке G-Rhino 6D l Tecno Camon 40 Premier</t>
  </si>
  <si>
    <t>{"#",190a7469-3325-4d33-b5ec-28a63ac83b06,283:84f100155d46f6e511f09d4fb5aa7e6a}</t>
  </si>
  <si>
    <t>00-00001612</t>
  </si>
  <si>
    <t>Стекло в упаковке G-Rhino 6D l Tecno Pova 6 (330 glue)</t>
  </si>
  <si>
    <t>{"#",190a7469-3325-4d33-b5ec-28a63ac83b06,283:84f100155d46f6e511f09d4fb645ee4a}</t>
  </si>
  <si>
    <t>00-00001613</t>
  </si>
  <si>
    <t>Стекло в упаковке G-Rhino 6D l Tecno Pova 6 Neo</t>
  </si>
  <si>
    <t>{"#",190a7469-3325-4d33-b5ec-28a63ac83b06,283:84f100155d46f6e511f09d4fb65e8c48}</t>
  </si>
  <si>
    <t>00-00001615</t>
  </si>
  <si>
    <t>Стекло в упаковке G-Rhino 6D l Tecno Pova 7</t>
  </si>
  <si>
    <t>{"#",190a7469-3325-4d33-b5ec-28a63ac83b06,283:84f100155d46f6e511f09d4fb691458e}</t>
  </si>
  <si>
    <t>00-00001616</t>
  </si>
  <si>
    <t>Стекло в упаковке G-Rhino 6D l Tecno Pova 7 Pro (330 glue)</t>
  </si>
  <si>
    <t>{"#",190a7469-3325-4d33-b5ec-28a63ac83b06,283:84f100155d46f6e511f09d4fb6aafc4a}</t>
  </si>
  <si>
    <t>00-00001617</t>
  </si>
  <si>
    <t>Стекло в упаковке G-Rhino 6D l Tecno Pova 7 Ultra</t>
  </si>
  <si>
    <t>{"#",190a7469-3325-4d33-b5ec-28a63ac83b06,283:84f100155d46f6e511f09d4fb6c49d26}</t>
  </si>
  <si>
    <t>00-00001621</t>
  </si>
  <si>
    <t>Стекло в упаковке G-Rhino 6D l Tecno Spark Go 1 / 2</t>
  </si>
  <si>
    <t>{"#",190a7469-3325-4d33-b5ec-28a63ac83b06,283:84f100155d46f6e511f09d4fb7278c88}</t>
  </si>
  <si>
    <t>00-00001624</t>
  </si>
  <si>
    <t>Стекло в упаковке G-Rhino 6D l Xiaomi 11T / 11T Pro</t>
  </si>
  <si>
    <t>{"#",190a7469-3325-4d33-b5ec-28a63ac83b06,283:84f100155d46f6e511f09d4fb773ca58}</t>
  </si>
  <si>
    <t>00-00001626</t>
  </si>
  <si>
    <t>Стекло в упаковке G-Rhino 6D l Xiaomi 12T / 12T Pro (330 glue)</t>
  </si>
  <si>
    <t>{"#",190a7469-3325-4d33-b5ec-28a63ac83b06,283:84f100155d46f6e511f09d4fb7a5114e}</t>
  </si>
  <si>
    <t>00-00001631</t>
  </si>
  <si>
    <t>Стекло в упаковке G-Rhino 6D l Xiaomi Mi 11 Lite</t>
  </si>
  <si>
    <t>{"#",190a7469-3325-4d33-b5ec-28a63ac83b06,283:84f100155d46f6e511f09d4fb8241868}</t>
  </si>
  <si>
    <t>00-00001632</t>
  </si>
  <si>
    <t>Стекло в упаковке G-Rhino 6D l Xiaomi Mi 8 / Mi 8 Pro</t>
  </si>
  <si>
    <t>{"#",190a7469-3325-4d33-b5ec-28a63ac83b06,283:84f100155d46f6e511f09d4fb83d45b8}</t>
  </si>
  <si>
    <t>00-00001635</t>
  </si>
  <si>
    <t>Стекло в упаковке G-Rhino 6D l Xiaomi Mi 9 SE</t>
  </si>
  <si>
    <t>{"#",190a7469-3325-4d33-b5ec-28a63ac83b06,283:84f100155d46f6e511f09d4fb88a2b30}</t>
  </si>
  <si>
    <t>00-00001636</t>
  </si>
  <si>
    <t>Стекло в упаковке G-Rhino 6D l Xiaomi Mi 9T/ K20 / K20 Pro</t>
  </si>
  <si>
    <t>{"#",190a7469-3325-4d33-b5ec-28a63ac83b06,283:84f100155d46f6e511f09d4fb8a25ebc}</t>
  </si>
  <si>
    <t>00-00001639</t>
  </si>
  <si>
    <t>Стекло в упаковке G-Rhino 6D l Xiaomi Poco F5 (330 glue)</t>
  </si>
  <si>
    <t>{"#",190a7469-3325-4d33-b5ec-28a63ac83b06,283:84f100155d46f6e511f09d4fb8ef46be}</t>
  </si>
  <si>
    <t>00-00001640</t>
  </si>
  <si>
    <t>Стекло в упаковке G-Rhino 6D l Xiaomi Poco F5 Pro / Redmi Note 12 Turbo (330 glue)</t>
  </si>
  <si>
    <t>{"#",190a7469-3325-4d33-b5ec-28a63ac83b06,283:84f100155d46f6e511f09d4fb909dd62}</t>
  </si>
  <si>
    <t>00-00001645</t>
  </si>
  <si>
    <t>Стекло в упаковке G-Rhino 6D l Xiaomi Poco F7 Pro / F7 Ultra (330 glue)</t>
  </si>
  <si>
    <t>{"#",190a7469-3325-4d33-b5ec-28a63ac83b06,283:84f100155d46f6e511f09d4fb98de1ac}</t>
  </si>
  <si>
    <t>00-00001646</t>
  </si>
  <si>
    <t>Стекло в упаковке G-Rhino 6D l Xiaomi Poco M3 / Redmi 9T</t>
  </si>
  <si>
    <t>{"#",190a7469-3325-4d33-b5ec-28a63ac83b06,283:84f100155d46f6e511f09d4fb9a95aa4}</t>
  </si>
  <si>
    <t>00-00001648</t>
  </si>
  <si>
    <t>Стекло в упаковке G-Rhino 6D l Xiaomi Poco M3 Pro / Redmi Note 10T</t>
  </si>
  <si>
    <t>{"#",190a7469-3325-4d33-b5ec-28a63ac83b06,283:84f100155d46f6e511f09d4fb9e94ccc}</t>
  </si>
  <si>
    <t>00-00001650</t>
  </si>
  <si>
    <t>Стекло в упаковке G-Rhino 6D l Xiaomi Poco M4 5G / Poco M5 / Redmi Note 11R</t>
  </si>
  <si>
    <t>{"#",190a7469-3325-4d33-b5ec-28a63ac83b06,283:84f100155d46f6e511f09d4fba2e03a8}</t>
  </si>
  <si>
    <t>00-00001653</t>
  </si>
  <si>
    <t>Стекло в упаковке G-Rhino 6D l Xiaomi Poco X7 Pro (330 glue)</t>
  </si>
  <si>
    <t>{"#",190a7469-3325-4d33-b5ec-28a63ac83b06,283:84f100155d46f6e511f09d4fba83eb4c}</t>
  </si>
  <si>
    <t>00-00001665</t>
  </si>
  <si>
    <t>Стекло в упаковке G-Rhino 6D l Xiaomi Redmi 9 / Poco M2</t>
  </si>
  <si>
    <t>{"#",190a7469-3325-4d33-b5ec-28a63ac83b06,283:84f100155d46f6e511f09d4fbbd38de0}</t>
  </si>
  <si>
    <t>00-00001668</t>
  </si>
  <si>
    <t>Стекло в упаковке G-Rhino 6D l Xiaomi Redmi Note 10 / 10s / Poco M4 Pro / M5s</t>
  </si>
  <si>
    <t>{"#",190a7469-3325-4d33-b5ec-28a63ac83b06,283:84f100155d46f6e511f09d4fbc26c28a}</t>
  </si>
  <si>
    <t>00-00001670</t>
  </si>
  <si>
    <t>Стекло в упаковке G-Rhino 6D l Xiaomi Redmi Note 11 / Note 11s / Note 12s</t>
  </si>
  <si>
    <t>{"#",190a7469-3325-4d33-b5ec-28a63ac83b06,283:84f100155d46f6e511f09d4fbc5985a8}</t>
  </si>
  <si>
    <t>00-00001672</t>
  </si>
  <si>
    <t>Стекло в упаковке G-Rhino 6D l Xiaomi Redmi Note 12 / Poco X5</t>
  </si>
  <si>
    <t>{"#",190a7469-3325-4d33-b5ec-28a63ac83b06,283:84f100155d46f6e511f09d4fbc8d7d68}</t>
  </si>
  <si>
    <t>00-00001673</t>
  </si>
  <si>
    <t>Стекло в упаковке G-Rhino 6D l Xiaomi Redmi Note 12 Pro / Pro + / Poco X5 Pro (330 glue)</t>
  </si>
  <si>
    <t>{"#",190a7469-3325-4d33-b5ec-28a63ac83b06,283:84f100155d46f6e511f09d4fbca7c3a8}</t>
  </si>
  <si>
    <t>00-00001674</t>
  </si>
  <si>
    <t>Стекло в упаковке G-Rhino 6D l Xiaomi Redmi Note 13 4G / Note 14 (330 glue)</t>
  </si>
  <si>
    <t>{"#",190a7469-3325-4d33-b5ec-28a63ac83b06,283:84f100155d46f6e511f09d4fbcc395ba}</t>
  </si>
  <si>
    <t>00-00001686</t>
  </si>
  <si>
    <t>Стекло в упаковке G-Rhino 6D l Xiaomi Redmi Note 9 / Note 9T / Redmi 10X</t>
  </si>
  <si>
    <t>{"#",190a7469-3325-4d33-b5ec-28a63ac83b06,283:84f100155d46f6e511f09d4fbe0d1752}</t>
  </si>
  <si>
    <t>G-Rhino Антишпион</t>
  </si>
  <si>
    <t>G-Rhino Антишпион в упаковке</t>
  </si>
  <si>
    <t>00-00002002</t>
  </si>
  <si>
    <t>Стекло в упаковке G-Rhino Антишпион l Samsung S26 / S26 Pro</t>
  </si>
  <si>
    <t>{"#",190a7469-3325-4d33-b5ec-28a63ac83b06,283:9f8e00155deafe7b11f0caeeac39f9e2}</t>
  </si>
  <si>
    <t>00-00002001</t>
  </si>
  <si>
    <t>Стекло в упаковке G-Rhino Антишпион l Samsung S26 Edge</t>
  </si>
  <si>
    <t>{"#",190a7469-3325-4d33-b5ec-28a63ac83b06,283:9f8e00155deafe7b11f0caee9bf7c0e6}</t>
  </si>
  <si>
    <t>00-00002003</t>
  </si>
  <si>
    <t>Стекло в упаковке G-Rhino Антишпион l Samsung S26 Ultra</t>
  </si>
  <si>
    <t>{"#",190a7469-3325-4d33-b5ec-28a63ac83b06,283:9f8e00155deafe7b11f0caeeb453dba2}</t>
  </si>
  <si>
    <t>G-Rhino на часы</t>
  </si>
  <si>
    <t>00-00000674</t>
  </si>
  <si>
    <t>Пленка PMMA в упаковке Apple Watch 10 46mm</t>
  </si>
  <si>
    <t>{"#",190a7469-3325-4d33-b5ec-28a63ac83b06,283:84f100155d46f6e511f09d4f461142be}</t>
  </si>
  <si>
    <t>00-00000675</t>
  </si>
  <si>
    <t>Пленка PMMA в упаковке Apple Watch 4/5/6/SE 40mm</t>
  </si>
  <si>
    <t>{"#",190a7469-3325-4d33-b5ec-28a63ac83b06,283:84f100155d46f6e511f09d4f4634b2c6}</t>
  </si>
  <si>
    <t>00-00000676</t>
  </si>
  <si>
    <t>Пленка PMMA в упаковке Apple Watch 4/5/6/SE 44mm</t>
  </si>
  <si>
    <t>{"#",190a7469-3325-4d33-b5ec-28a63ac83b06,283:84f100155d46f6e511f09d4f46553d34}</t>
  </si>
  <si>
    <t>G-Rhino прозрачные стекла</t>
  </si>
  <si>
    <t>G-Rhino прозрачные стекла для планшетов</t>
  </si>
  <si>
    <t>00-00001233</t>
  </si>
  <si>
    <t>Стекло iPad 10 / 11 (2022-2025) 10.9' в упаковке</t>
  </si>
  <si>
    <t>{"#",190a7469-3325-4d33-b5ec-28a63ac83b06,283:84f100155d46f6e511f09d4f8c941d2e}</t>
  </si>
  <si>
    <t>00-00001238</t>
  </si>
  <si>
    <t>Стекло iPad Air 6 / 7 (2024-2025) 11' в упаковке</t>
  </si>
  <si>
    <t>{"#",190a7469-3325-4d33-b5ec-28a63ac83b06,283:84f100155d46f6e511f09d4f8d42bd52}</t>
  </si>
  <si>
    <t>00-00001408</t>
  </si>
  <si>
    <t>Стекло Xiaomi Pad 7 / 7 Pro 11.2' в упаковке</t>
  </si>
  <si>
    <t>{"#",190a7469-3325-4d33-b5ec-28a63ac83b06,283:84f100155d46f6e511f09d4fa0cfb0aa}</t>
  </si>
  <si>
    <t>00-00001412</t>
  </si>
  <si>
    <t>Стекло Xiaomi Redmi Pad 2 11' в упаковке</t>
  </si>
  <si>
    <t>{"#",190a7469-3325-4d33-b5ec-28a63ac83b06,283:84f100155d46f6e511f09d4fa13ab936}</t>
  </si>
  <si>
    <t>Veason</t>
  </si>
  <si>
    <t>00-00001897</t>
  </si>
  <si>
    <t>Стекло Veason Infinix Note 40</t>
  </si>
  <si>
    <t>{"#",190a7469-3325-4d33-b5ec-28a63ac83b06,283:9f9800155d46f6e511f0a1ed656f5c3e}</t>
  </si>
  <si>
    <t>00-00001892</t>
  </si>
  <si>
    <t>Стекло Veason l Honor 400</t>
  </si>
  <si>
    <t>{"#",190a7469-3325-4d33-b5ec-28a63ac83b06,283:9f9800155d46f6e511f0a1ec1ecb133c}</t>
  </si>
  <si>
    <t>00-00001293</t>
  </si>
  <si>
    <t>Стекло Veason l Huawei Pura 70</t>
  </si>
  <si>
    <t>{"#",190a7469-3325-4d33-b5ec-28a63ac83b06,283:84f100155d46f6e511f09d4f933a58b4}</t>
  </si>
  <si>
    <t>00-00001345</t>
  </si>
  <si>
    <t>Стекло Veason l Samsung A36 / A56 / S24 FE</t>
  </si>
  <si>
    <t>{"#",190a7469-3325-4d33-b5ec-28a63ac83b06,283:84f100155d46f6e511f09d4f99c7b5b4}</t>
  </si>
  <si>
    <t>00-00001360</t>
  </si>
  <si>
    <t>Стекло Veason l Tecno Camon 40</t>
  </si>
  <si>
    <t>{"#",190a7469-3325-4d33-b5ec-28a63ac83b06,283:84f100155d46f6e511f09d4f9b864faa}</t>
  </si>
  <si>
    <t>00-00001365</t>
  </si>
  <si>
    <t>Стекло Veason l Tecno Pova 6 Neo</t>
  </si>
  <si>
    <t>{"#",190a7469-3325-4d33-b5ec-28a63ac83b06,283:84f100155d46f6e511f09d4f9c21a9c8}</t>
  </si>
  <si>
    <t>00-00001902</t>
  </si>
  <si>
    <t>Стекло Veason l Tecno Pova 7</t>
  </si>
  <si>
    <t>{"#",190a7469-3325-4d33-b5ec-28a63ac83b06,283:9f9800155d46f6e511f0a1f0b2cf2e0c}</t>
  </si>
  <si>
    <t>00-00001894</t>
  </si>
  <si>
    <t>Стекло Veason l Tecno Pova 7 Pro 5G</t>
  </si>
  <si>
    <t>{"#",190a7469-3325-4d33-b5ec-28a63ac83b06,283:9f9800155d46f6e511f0a1ec351a14ee}</t>
  </si>
  <si>
    <t>00-00001375</t>
  </si>
  <si>
    <t>Стекло Veason l Xiaomi Mi 11 Lite</t>
  </si>
  <si>
    <t>{"#",190a7469-3325-4d33-b5ec-28a63ac83b06,283:84f100155d46f6e511f09d4f9d81099e}</t>
  </si>
  <si>
    <t>00-00001397</t>
  </si>
  <si>
    <t>Стекло Veason l Xiaomi Redmi Note 13 4G / Note 14</t>
  </si>
  <si>
    <t>{"#",190a7469-3325-4d33-b5ec-28a63ac83b06,283:84f100155d46f6e511f09d4f9fb441f4}</t>
  </si>
  <si>
    <t>00-00001898</t>
  </si>
  <si>
    <t>Стекло Veason Realme C71</t>
  </si>
  <si>
    <t>{"#",190a7469-3325-4d33-b5ec-28a63ac83b06,283:9f9800155d46f6e511f0a1ed88cf209c}</t>
  </si>
  <si>
    <t>Упаковка, салфетки</t>
  </si>
  <si>
    <t>00-00000650</t>
  </si>
  <si>
    <t>Комплект поклейки G-Rhino (в пачке 100 шт)</t>
  </si>
  <si>
    <t>{"#",190a7469-3325-4d33-b5ec-28a63ac83b06,283:84f100155d46f6e511f09d4f4359aebc}</t>
  </si>
  <si>
    <t>00-00001781</t>
  </si>
  <si>
    <t>Фирменная упаковка G-Rhino (коробка)</t>
  </si>
  <si>
    <t>{"#",190a7469-3325-4d33-b5ec-28a63ac83b06,283:84f100155d46f6e511f09d4fc870b53c}</t>
  </si>
  <si>
    <t>00-00001783</t>
  </si>
  <si>
    <t>Фирменная упаковка VEASON (Ozon)</t>
  </si>
  <si>
    <t>{"#",190a7469-3325-4d33-b5ec-28a63ac83b06,283:84f100155d46f6e511f09d4fc8ac615e}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</si>
</sst>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
  </numFmts>
  <fonts count="5">
    <font>
      <sz val="11"/>
      <color theme="1"/>
      <name val="Calibri"/>
      <family val="2"/>
    </font>
    <font>
      <sz val="8"/>
      <color rgb="FF000000"/>
      <name val="Arial"/>
      <family val="2"/>
    </font>
    <font>
      <b val="1"/>
      <sz val="8"/>
      <color rgb="FF000000"/>
      <name val="Arial"/>
      <family val="2"/>
    </font>
    <font>
      <b val="1"/>
      <sz val="8"/>
      <color rgb="FF333333"/>
      <name val="Arial"/>
      <family val="2"/>
    </font>
    <font>
      <b val="1"/>
      <sz val="8"/>
      <color rgb="FF4D4D4D"/>
      <name val="Arial"/>
      <family val="2"/>
    </font>
  </fonts>
  <fills count="4">
    <fill>
      <patternFill patternType="none"/>
    </fill>
    <fill>
      <patternFill patternType="gray125"/>
    </fill>
    <fill>
      <gradientFill degree="90">
        <stop position="0">
          <color rgb="FFF4ECC5"/>
        </stop>
        <stop position="1">
          <color rgb="FFF4ECC5"/>
        </stop>
      </gradientFill>
    </fill>
    <fill>
      <gradientFill degree="90">
        <stop position="0">
          <color rgb="FFF8F2D8"/>
        </stop>
        <stop position="1">
          <color rgb="FFF8F2D8"/>
        </stop>
      </gradient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
    <xf numFmtId="0" fontId="0" fillId="0" borderId="0" xfId="0"/>
    <xf numFmtId="0" fontId="1" fillId="0" borderId="0" xfId="0" applyFont="true" applyAlignment="true">
      <alignment vertical="center"/>
    </xf>
    <xf numFmtId="0" fontId="2" fillId="0" borderId="0" xfId="0" applyFont="true" applyAlignment="true">
      <alignment vertical="center"/>
    </xf>
    <xf numFmtId="0" fontId="3" fillId="2" borderId="1" xfId="0" applyFont="true" applyFill="true" applyBorder="true" applyAlignment="true" applyProtection="true">
      <alignment horizontal="left" vertical="center" wrapText="true"/>
      <protection hidden="false" locked="true"/>
    </xf>
    <xf numFmtId="0" fontId="3" fillId="2" borderId="1" xfId="0" applyFont="true" applyFill="true" applyBorder="true" applyAlignment="true" applyProtection="true">
      <alignment horizontal="center" vertical="center" wrapText="true"/>
      <protection hidden="false" locked="true"/>
    </xf>
    <xf numFmtId="0" fontId="4" fillId="3" borderId="0" xfId="0" applyFont="true" applyFill="true" applyAlignment="true">
      <alignment horizontal="left" vertical="center" wrapText="true"/>
    </xf>
    <xf numFmtId="0" fontId="1" fillId="0" borderId="1" xfId="0" applyFont="true" applyBorder="true" applyAlignment="true" applyProtection="true">
      <alignment horizontal="left" vertical="center" wrapText="true"/>
      <protection hidden="false" locked="true"/>
    </xf>
    <xf numFmtId="0" fontId="1" fillId="0" borderId="1" xfId="0" applyFont="true" applyBorder="true" applyAlignment="true" applyProtection="true">
      <alignment horizontal="center" vertical="center" wrapText="true"/>
      <protection hidden="false" locked="true"/>
    </xf>
    <xf numFmtId="164" fontId="1" fillId="0" borderId="1" xfId="0" applyNumberFormat="true" applyFont="true" applyBorder="true" applyAlignment="true" applyProtection="true">
      <alignment horizontal="center" vertical="center" wrapText="true"/>
      <protection hidden="false" locked="true"/>
    </xf>
    <xf numFmtId="164" fontId="1" fillId="0" borderId="1" xfId="0" applyNumberFormat="true" applyFont="true" applyBorder="true" applyAlignment="true" applyProtection="true">
      <alignment horizontal="left"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outlinePr summaryBelow="false" summaryRight="false" showOutlineSymbols="false"/>
  </sheetPr>
  <dimension ref="A1"/>
  <sheetViews>
    <sheetView tabSelected="true" workbookViewId="0"/>
  </sheetViews>
  <sheetFormatPr defaultRowHeight="15"/>
  <cols>
    <col customWidth="true" max="1" min="1" width="14"/>
    <col customWidth="true" max="2" min="2" width="39"/>
    <col customWidth="true" hidden="true" max="8" min="8" width="9.140625"/>
    <col customWidth="true" max="9" min="9" width="10"/>
    <col customWidth="true" max="10" min="10" width="25"/>
    <col customWidth="true" hidden="true" max="12" min="11" width="9.140625"/>
  </cols>
  <sheetData>
    <row r="1" hidden="true">
      <c r="A1" t="s">
        <v>0</v>
      </c>
      <c r="B1" t="s">
        <v>1</v>
      </c>
      <c r="C1" t="s">
        <v>2</v>
      </c>
      <c r="D1" t="s">
        <v>3</v>
      </c>
      <c r="E1" t="s">
        <v>4</v>
      </c>
      <c r="F1" t="s">
        <v>5</v>
      </c>
      <c r="G1" t="s">
        <v>6</v>
      </c>
      <c r="H1" t="s">
        <v>7</v>
      </c>
      <c r="I1" t="s">
        <v>8</v>
      </c>
      <c r="J1" t="s">
        <v>9</v>
      </c>
      <c r="K1" t="s">
        <v>10</v>
      </c>
      <c r="L1" t="s">
        <v>11</v>
      </c>
    </row>
    <row r="2" ht="11" customHeight="true">
      <c r="H2" s="1">
        <f>=SUM(H4:H110)</f>
        <v>0</v>
      </c>
      <c r="I2" s="2" t="s">
        <v>12</v>
      </c>
      <c r="J2" s="2">
        <f>=SUM(I4:I110)</f>
        <v>0</v>
      </c>
    </row>
    <row r="3" ht="20" customHeight="true">
      <c r="A3" s="3" t="s">
        <v>0</v>
      </c>
      <c r="B3" s="3" t="s">
        <v>1</v>
      </c>
      <c r="C3" s="3" t="s">
        <v>2</v>
      </c>
      <c r="D3" s="4" t="s">
        <v>3</v>
      </c>
      <c r="E3" s="4" t="s">
        <v>4</v>
      </c>
      <c r="F3" s="4" t="s">
        <v>5</v>
      </c>
      <c r="G3" s="4" t="s">
        <v>6</v>
      </c>
      <c r="H3" s="3" t="s">
        <v>7</v>
      </c>
      <c r="I3" s="4" t="s">
        <v>8</v>
      </c>
      <c r="J3" s="3" t="s">
        <v>9</v>
      </c>
    </row>
    <row r="4">
      <c r="A4" s="5" t="s">
        <v>13</v>
      </c>
    </row>
    <row r="5" outlineLevel="1">
      <c r="A5" s="5" t="s">
        <v>14</v>
      </c>
    </row>
    <row r="6" outlineLevel="2">
      <c r="A6" s="5" t="s">
        <v>15</v>
      </c>
    </row>
    <row r="7" outlineLevel="3">
      <c r="A7" s="6" t="s">
        <v>16</v>
      </c>
      <c r="B7" s="6" t="s">
        <v>17</v>
      </c>
      <c r="C7" s="6" t="s">
        <v>18</v>
      </c>
      <c r="D7" s="7">
        <v>70</v>
      </c>
      <c r="E7" s="7">
        <v>76</v>
      </c>
      <c r="F7" s="7">
        <v>84</v>
      </c>
      <c r="G7" s="8">
        <v>0</v>
      </c>
      <c r="H7" s="9">
        <f>G7*F7</f>
      </c>
      <c r="I7" s="8">
        <f>IF($H$2&gt;45000, D7*G7, IF($H$2&gt;15000, E7*G7, F7*G7)) </f>
      </c>
      <c r="J7" s="6" t="s">
        <v>18</v>
      </c>
      <c r="K7" t="s">
        <v>19</v>
      </c>
    </row>
    <row r="8" outlineLevel="3">
      <c r="A8" s="6" t="s">
        <v>20</v>
      </c>
      <c r="B8" s="6" t="s">
        <v>21</v>
      </c>
      <c r="C8" s="6" t="s">
        <v>18</v>
      </c>
      <c r="D8" s="7">
        <v>55</v>
      </c>
      <c r="E8" s="7">
        <v>60</v>
      </c>
      <c r="F8" s="7">
        <v>66</v>
      </c>
      <c r="G8" s="8">
        <v>0</v>
      </c>
      <c r="H8" s="9">
        <f>G8*F8</f>
      </c>
      <c r="I8" s="8">
        <f>IF($H$2&gt;45000, D8*G8, IF($H$2&gt;15000, E8*G8, F8*G8)) </f>
      </c>
      <c r="J8" s="6" t="s">
        <v>18</v>
      </c>
      <c r="K8" t="s">
        <v>22</v>
      </c>
    </row>
    <row r="9" outlineLevel="3">
      <c r="A9" s="6" t="s">
        <v>23</v>
      </c>
      <c r="B9" s="6" t="s">
        <v>24</v>
      </c>
      <c r="C9" s="6" t="s">
        <v>18</v>
      </c>
      <c r="D9" s="7">
        <v>63</v>
      </c>
      <c r="E9" s="7">
        <v>69</v>
      </c>
      <c r="F9" s="7">
        <v>76</v>
      </c>
      <c r="G9" s="8">
        <v>0</v>
      </c>
      <c r="H9" s="9">
        <f>G9*F9</f>
      </c>
      <c r="I9" s="8">
        <f>IF($H$2&gt;45000, D9*G9, IF($H$2&gt;15000, E9*G9, F9*G9)) </f>
      </c>
      <c r="J9" s="6" t="s">
        <v>18</v>
      </c>
      <c r="K9" t="s">
        <v>25</v>
      </c>
    </row>
    <row r="10" outlineLevel="2">
      <c r="A10" s="5" t="s">
        <v>26</v>
      </c>
    </row>
    <row r="11" outlineLevel="3">
      <c r="A11" s="6" t="s">
        <v>27</v>
      </c>
      <c r="B11" s="6" t="s">
        <v>28</v>
      </c>
      <c r="C11" s="6" t="s">
        <v>18</v>
      </c>
      <c r="D11" s="7">
        <v>83</v>
      </c>
      <c r="E11" s="7">
        <v>89</v>
      </c>
      <c r="F11" s="7">
        <v>96</v>
      </c>
      <c r="G11" s="8">
        <v>0</v>
      </c>
      <c r="H11" s="9">
        <f>G11*F11</f>
      </c>
      <c r="I11" s="8">
        <f>IF($H$2&gt;45000, D11*G11, IF($H$2&gt;15000, E11*G11, F11*G11)) </f>
      </c>
      <c r="J11" s="6" t="s">
        <v>18</v>
      </c>
      <c r="K11" t="s">
        <v>29</v>
      </c>
    </row>
    <row r="12" outlineLevel="3">
      <c r="A12" s="6" t="s">
        <v>30</v>
      </c>
      <c r="B12" s="6" t="s">
        <v>31</v>
      </c>
      <c r="C12" s="6" t="s">
        <v>18</v>
      </c>
      <c r="D12" s="7">
        <v>83</v>
      </c>
      <c r="E12" s="7">
        <v>89</v>
      </c>
      <c r="F12" s="7">
        <v>96</v>
      </c>
      <c r="G12" s="8">
        <v>0</v>
      </c>
      <c r="H12" s="9">
        <f>G12*F12</f>
      </c>
      <c r="I12" s="8">
        <f>IF($H$2&gt;45000, D12*G12, IF($H$2&gt;15000, E12*G12, F12*G12)) </f>
      </c>
      <c r="J12" s="6" t="s">
        <v>18</v>
      </c>
      <c r="K12" t="s">
        <v>32</v>
      </c>
    </row>
    <row r="13" outlineLevel="3">
      <c r="A13" s="6" t="s">
        <v>33</v>
      </c>
      <c r="B13" s="6" t="s">
        <v>34</v>
      </c>
      <c r="C13" s="6" t="s">
        <v>18</v>
      </c>
      <c r="D13" s="7">
        <v>83</v>
      </c>
      <c r="E13" s="7">
        <v>89</v>
      </c>
      <c r="F13" s="7">
        <v>96</v>
      </c>
      <c r="G13" s="8">
        <v>0</v>
      </c>
      <c r="H13" s="9">
        <f>G13*F13</f>
      </c>
      <c r="I13" s="8">
        <f>IF($H$2&gt;45000, D13*G13, IF($H$2&gt;15000, E13*G13, F13*G13)) </f>
      </c>
      <c r="J13" s="6" t="s">
        <v>18</v>
      </c>
      <c r="K13" t="s">
        <v>35</v>
      </c>
    </row>
    <row r="14" outlineLevel="3">
      <c r="A14" s="6" t="s">
        <v>36</v>
      </c>
      <c r="B14" s="6" t="s">
        <v>37</v>
      </c>
      <c r="C14" s="6" t="s">
        <v>18</v>
      </c>
      <c r="D14" s="7">
        <v>90</v>
      </c>
      <c r="E14" s="7">
        <v>97</v>
      </c>
      <c r="F14" s="7">
        <v>104</v>
      </c>
      <c r="G14" s="8">
        <v>0</v>
      </c>
      <c r="H14" s="9">
        <f>G14*F14</f>
      </c>
      <c r="I14" s="8">
        <f>IF($H$2&gt;45000, D14*G14, IF($H$2&gt;15000, E14*G14, F14*G14)) </f>
      </c>
      <c r="J14" s="6" t="s">
        <v>18</v>
      </c>
      <c r="K14" t="s">
        <v>38</v>
      </c>
    </row>
    <row r="15" outlineLevel="3">
      <c r="A15" s="6" t="s">
        <v>39</v>
      </c>
      <c r="B15" s="6" t="s">
        <v>40</v>
      </c>
      <c r="C15" s="6" t="s">
        <v>18</v>
      </c>
      <c r="D15" s="7">
        <v>90</v>
      </c>
      <c r="E15" s="7">
        <v>97</v>
      </c>
      <c r="F15" s="7">
        <v>104</v>
      </c>
      <c r="G15" s="8">
        <v>0</v>
      </c>
      <c r="H15" s="9">
        <f>G15*F15</f>
      </c>
      <c r="I15" s="8">
        <f>IF($H$2&gt;45000, D15*G15, IF($H$2&gt;15000, E15*G15, F15*G15)) </f>
      </c>
      <c r="J15" s="6" t="s">
        <v>18</v>
      </c>
      <c r="K15" t="s">
        <v>41</v>
      </c>
    </row>
    <row r="16" outlineLevel="3">
      <c r="A16" s="6" t="s">
        <v>42</v>
      </c>
      <c r="B16" s="6" t="s">
        <v>43</v>
      </c>
      <c r="C16" s="6" t="s">
        <v>18</v>
      </c>
      <c r="D16" s="7">
        <v>115</v>
      </c>
      <c r="E16" s="7">
        <v>124</v>
      </c>
      <c r="F16" s="7">
        <v>134</v>
      </c>
      <c r="G16" s="8">
        <v>0</v>
      </c>
      <c r="H16" s="9">
        <f>G16*F16</f>
      </c>
      <c r="I16" s="8">
        <f>IF($H$2&gt;45000, D16*G16, IF($H$2&gt;15000, E16*G16, F16*G16)) </f>
      </c>
      <c r="J16" s="6" t="s">
        <v>18</v>
      </c>
      <c r="K16" t="s">
        <v>44</v>
      </c>
    </row>
    <row r="17" outlineLevel="3">
      <c r="A17" s="6" t="s">
        <v>45</v>
      </c>
      <c r="B17" s="6" t="s">
        <v>46</v>
      </c>
      <c r="C17" s="6" t="s">
        <v>18</v>
      </c>
      <c r="D17" s="7">
        <v>115</v>
      </c>
      <c r="E17" s="7">
        <v>124</v>
      </c>
      <c r="F17" s="7">
        <v>134</v>
      </c>
      <c r="G17" s="8">
        <v>0</v>
      </c>
      <c r="H17" s="9">
        <f>G17*F17</f>
      </c>
      <c r="I17" s="8">
        <f>IF($H$2&gt;45000, D17*G17, IF($H$2&gt;15000, E17*G17, F17*G17)) </f>
      </c>
      <c r="J17" s="6" t="s">
        <v>18</v>
      </c>
      <c r="K17" t="s">
        <v>47</v>
      </c>
    </row>
    <row r="18" outlineLevel="3">
      <c r="A18" s="6" t="s">
        <v>48</v>
      </c>
      <c r="B18" s="6" t="s">
        <v>49</v>
      </c>
      <c r="C18" s="6" t="s">
        <v>18</v>
      </c>
      <c r="D18" s="7">
        <v>90</v>
      </c>
      <c r="E18" s="7">
        <v>97</v>
      </c>
      <c r="F18" s="7">
        <v>104</v>
      </c>
      <c r="G18" s="8">
        <v>0</v>
      </c>
      <c r="H18" s="9">
        <f>G18*F18</f>
      </c>
      <c r="I18" s="8">
        <f>IF($H$2&gt;45000, D18*G18, IF($H$2&gt;15000, E18*G18, F18*G18)) </f>
      </c>
      <c r="J18" s="6" t="s">
        <v>18</v>
      </c>
      <c r="K18" t="s">
        <v>50</v>
      </c>
    </row>
    <row r="19" outlineLevel="3">
      <c r="A19" s="6" t="s">
        <v>51</v>
      </c>
      <c r="B19" s="6" t="s">
        <v>52</v>
      </c>
      <c r="C19" s="6" t="s">
        <v>18</v>
      </c>
      <c r="D19" s="7">
        <v>83</v>
      </c>
      <c r="E19" s="7">
        <v>89</v>
      </c>
      <c r="F19" s="7">
        <v>96</v>
      </c>
      <c r="G19" s="8">
        <v>0</v>
      </c>
      <c r="H19" s="9">
        <f>G19*F19</f>
      </c>
      <c r="I19" s="8">
        <f>IF($H$2&gt;45000, D19*G19, IF($H$2&gt;15000, E19*G19, F19*G19)) </f>
      </c>
      <c r="J19" s="6" t="s">
        <v>18</v>
      </c>
      <c r="K19" t="s">
        <v>53</v>
      </c>
    </row>
    <row r="20" outlineLevel="3">
      <c r="A20" s="6" t="s">
        <v>54</v>
      </c>
      <c r="B20" s="6" t="s">
        <v>55</v>
      </c>
      <c r="C20" s="6" t="s">
        <v>18</v>
      </c>
      <c r="D20" s="7">
        <v>83</v>
      </c>
      <c r="E20" s="7">
        <v>89</v>
      </c>
      <c r="F20" s="7">
        <v>96</v>
      </c>
      <c r="G20" s="8">
        <v>0</v>
      </c>
      <c r="H20" s="9">
        <f>G20*F20</f>
      </c>
      <c r="I20" s="8">
        <f>IF($H$2&gt;45000, D20*G20, IF($H$2&gt;15000, E20*G20, F20*G20)) </f>
      </c>
      <c r="J20" s="6" t="s">
        <v>18</v>
      </c>
      <c r="K20" t="s">
        <v>56</v>
      </c>
    </row>
    <row r="21" outlineLevel="3">
      <c r="A21" s="6" t="s">
        <v>57</v>
      </c>
      <c r="B21" s="6" t="s">
        <v>58</v>
      </c>
      <c r="C21" s="6" t="s">
        <v>18</v>
      </c>
      <c r="D21" s="7">
        <v>83</v>
      </c>
      <c r="E21" s="7">
        <v>89</v>
      </c>
      <c r="F21" s="7">
        <v>96</v>
      </c>
      <c r="G21" s="8">
        <v>0</v>
      </c>
      <c r="H21" s="9">
        <f>G21*F21</f>
      </c>
      <c r="I21" s="8">
        <f>IF($H$2&gt;45000, D21*G21, IF($H$2&gt;15000, E21*G21, F21*G21)) </f>
      </c>
      <c r="J21" s="6" t="s">
        <v>18</v>
      </c>
      <c r="K21" t="s">
        <v>59</v>
      </c>
    </row>
    <row r="22" outlineLevel="3">
      <c r="A22" s="6" t="s">
        <v>60</v>
      </c>
      <c r="B22" s="6" t="s">
        <v>61</v>
      </c>
      <c r="C22" s="6" t="s">
        <v>18</v>
      </c>
      <c r="D22" s="7">
        <v>83</v>
      </c>
      <c r="E22" s="7">
        <v>89</v>
      </c>
      <c r="F22" s="7">
        <v>96</v>
      </c>
      <c r="G22" s="8">
        <v>0</v>
      </c>
      <c r="H22" s="9">
        <f>G22*F22</f>
      </c>
      <c r="I22" s="8">
        <f>IF($H$2&gt;45000, D22*G22, IF($H$2&gt;15000, E22*G22, F22*G22)) </f>
      </c>
      <c r="J22" s="6" t="s">
        <v>18</v>
      </c>
      <c r="K22" t="s">
        <v>62</v>
      </c>
    </row>
    <row r="23" outlineLevel="3">
      <c r="A23" s="6" t="s">
        <v>63</v>
      </c>
      <c r="B23" s="6" t="s">
        <v>64</v>
      </c>
      <c r="C23" s="6" t="s">
        <v>18</v>
      </c>
      <c r="D23" s="7">
        <v>83</v>
      </c>
      <c r="E23" s="7">
        <v>89</v>
      </c>
      <c r="F23" s="7">
        <v>96</v>
      </c>
      <c r="G23" s="8">
        <v>0</v>
      </c>
      <c r="H23" s="9">
        <f>G23*F23</f>
      </c>
      <c r="I23" s="8">
        <f>IF($H$2&gt;45000, D23*G23, IF($H$2&gt;15000, E23*G23, F23*G23)) </f>
      </c>
      <c r="J23" s="6" t="s">
        <v>18</v>
      </c>
      <c r="K23" t="s">
        <v>65</v>
      </c>
    </row>
    <row r="24" outlineLevel="3">
      <c r="A24" s="6" t="s">
        <v>66</v>
      </c>
      <c r="B24" s="6" t="s">
        <v>67</v>
      </c>
      <c r="C24" s="6" t="s">
        <v>18</v>
      </c>
      <c r="D24" s="7">
        <v>83</v>
      </c>
      <c r="E24" s="7">
        <v>89</v>
      </c>
      <c r="F24" s="7">
        <v>96</v>
      </c>
      <c r="G24" s="8">
        <v>0</v>
      </c>
      <c r="H24" s="9">
        <f>G24*F24</f>
      </c>
      <c r="I24" s="8">
        <f>IF($H$2&gt;45000, D24*G24, IF($H$2&gt;15000, E24*G24, F24*G24)) </f>
      </c>
      <c r="J24" s="6" t="s">
        <v>18</v>
      </c>
      <c r="K24" t="s">
        <v>68</v>
      </c>
    </row>
    <row r="25" outlineLevel="3">
      <c r="A25" s="6" t="s">
        <v>69</v>
      </c>
      <c r="B25" s="6" t="s">
        <v>70</v>
      </c>
      <c r="C25" s="6" t="s">
        <v>18</v>
      </c>
      <c r="D25" s="7">
        <v>83</v>
      </c>
      <c r="E25" s="7">
        <v>89</v>
      </c>
      <c r="F25" s="7">
        <v>96</v>
      </c>
      <c r="G25" s="8">
        <v>0</v>
      </c>
      <c r="H25" s="9">
        <f>G25*F25</f>
      </c>
      <c r="I25" s="8">
        <f>IF($H$2&gt;45000, D25*G25, IF($H$2&gt;15000, E25*G25, F25*G25)) </f>
      </c>
      <c r="J25" s="6" t="s">
        <v>18</v>
      </c>
      <c r="K25" t="s">
        <v>71</v>
      </c>
    </row>
    <row r="26" outlineLevel="3">
      <c r="A26" s="6" t="s">
        <v>72</v>
      </c>
      <c r="B26" s="6" t="s">
        <v>73</v>
      </c>
      <c r="C26" s="6" t="s">
        <v>18</v>
      </c>
      <c r="D26" s="7">
        <v>83</v>
      </c>
      <c r="E26" s="7">
        <v>89</v>
      </c>
      <c r="F26" s="7">
        <v>96</v>
      </c>
      <c r="G26" s="8">
        <v>0</v>
      </c>
      <c r="H26" s="9">
        <f>G26*F26</f>
      </c>
      <c r="I26" s="8">
        <f>IF($H$2&gt;45000, D26*G26, IF($H$2&gt;15000, E26*G26, F26*G26)) </f>
      </c>
      <c r="J26" s="6" t="s">
        <v>18</v>
      </c>
      <c r="K26" t="s">
        <v>74</v>
      </c>
    </row>
    <row r="27" outlineLevel="3">
      <c r="A27" s="6" t="s">
        <v>75</v>
      </c>
      <c r="B27" s="6" t="s">
        <v>76</v>
      </c>
      <c r="C27" s="6" t="s">
        <v>18</v>
      </c>
      <c r="D27" s="7">
        <v>93</v>
      </c>
      <c r="E27" s="7">
        <v>99</v>
      </c>
      <c r="F27" s="7">
        <v>107</v>
      </c>
      <c r="G27" s="8">
        <v>0</v>
      </c>
      <c r="H27" s="9">
        <f>G27*F27</f>
      </c>
      <c r="I27" s="8">
        <f>IF($H$2&gt;45000, D27*G27, IF($H$2&gt;15000, E27*G27, F27*G27)) </f>
      </c>
      <c r="J27" s="6" t="s">
        <v>18</v>
      </c>
      <c r="K27" t="s">
        <v>77</v>
      </c>
    </row>
    <row r="28" outlineLevel="3">
      <c r="A28" s="6" t="s">
        <v>78</v>
      </c>
      <c r="B28" s="6" t="s">
        <v>79</v>
      </c>
      <c r="C28" s="6" t="s">
        <v>18</v>
      </c>
      <c r="D28" s="7">
        <v>90</v>
      </c>
      <c r="E28" s="7">
        <v>97</v>
      </c>
      <c r="F28" s="7">
        <v>104</v>
      </c>
      <c r="G28" s="8">
        <v>0</v>
      </c>
      <c r="H28" s="9">
        <f>G28*F28</f>
      </c>
      <c r="I28" s="8">
        <f>IF($H$2&gt;45000, D28*G28, IF($H$2&gt;15000, E28*G28, F28*G28)) </f>
      </c>
      <c r="J28" s="6" t="s">
        <v>18</v>
      </c>
      <c r="K28" t="s">
        <v>80</v>
      </c>
    </row>
    <row r="29" outlineLevel="3">
      <c r="A29" s="6" t="s">
        <v>81</v>
      </c>
      <c r="B29" s="6" t="s">
        <v>82</v>
      </c>
      <c r="C29" s="6" t="s">
        <v>18</v>
      </c>
      <c r="D29" s="7">
        <v>83</v>
      </c>
      <c r="E29" s="7">
        <v>89</v>
      </c>
      <c r="F29" s="7">
        <v>96</v>
      </c>
      <c r="G29" s="8">
        <v>0</v>
      </c>
      <c r="H29" s="9">
        <f>G29*F29</f>
      </c>
      <c r="I29" s="8">
        <f>IF($H$2&gt;45000, D29*G29, IF($H$2&gt;15000, E29*G29, F29*G29)) </f>
      </c>
      <c r="J29" s="6" t="s">
        <v>18</v>
      </c>
      <c r="K29" t="s">
        <v>83</v>
      </c>
    </row>
    <row r="30" outlineLevel="3">
      <c r="A30" s="6" t="s">
        <v>84</v>
      </c>
      <c r="B30" s="6" t="s">
        <v>85</v>
      </c>
      <c r="C30" s="6" t="s">
        <v>18</v>
      </c>
      <c r="D30" s="7">
        <v>90</v>
      </c>
      <c r="E30" s="7">
        <v>97</v>
      </c>
      <c r="F30" s="7">
        <v>104</v>
      </c>
      <c r="G30" s="8">
        <v>0</v>
      </c>
      <c r="H30" s="9">
        <f>G30*F30</f>
      </c>
      <c r="I30" s="8">
        <f>IF($H$2&gt;45000, D30*G30, IF($H$2&gt;15000, E30*G30, F30*G30)) </f>
      </c>
      <c r="J30" s="6" t="s">
        <v>18</v>
      </c>
      <c r="K30" t="s">
        <v>86</v>
      </c>
    </row>
    <row r="31" outlineLevel="3">
      <c r="A31" s="6" t="s">
        <v>87</v>
      </c>
      <c r="B31" s="6" t="s">
        <v>88</v>
      </c>
      <c r="C31" s="6" t="s">
        <v>18</v>
      </c>
      <c r="D31" s="7">
        <v>90</v>
      </c>
      <c r="E31" s="7">
        <v>97</v>
      </c>
      <c r="F31" s="7">
        <v>104</v>
      </c>
      <c r="G31" s="8">
        <v>0</v>
      </c>
      <c r="H31" s="9">
        <f>G31*F31</f>
      </c>
      <c r="I31" s="8">
        <f>IF($H$2&gt;45000, D31*G31, IF($H$2&gt;15000, E31*G31, F31*G31)) </f>
      </c>
      <c r="J31" s="6" t="s">
        <v>18</v>
      </c>
      <c r="K31" t="s">
        <v>89</v>
      </c>
    </row>
    <row r="32" outlineLevel="3">
      <c r="A32" s="6" t="s">
        <v>90</v>
      </c>
      <c r="B32" s="6" t="s">
        <v>91</v>
      </c>
      <c r="C32" s="6" t="s">
        <v>18</v>
      </c>
      <c r="D32" s="7">
        <v>90</v>
      </c>
      <c r="E32" s="7">
        <v>97</v>
      </c>
      <c r="F32" s="7">
        <v>104</v>
      </c>
      <c r="G32" s="8">
        <v>0</v>
      </c>
      <c r="H32" s="9">
        <f>G32*F32</f>
      </c>
      <c r="I32" s="8">
        <f>IF($H$2&gt;45000, D32*G32, IF($H$2&gt;15000, E32*G32, F32*G32)) </f>
      </c>
      <c r="J32" s="6" t="s">
        <v>18</v>
      </c>
      <c r="K32" t="s">
        <v>92</v>
      </c>
    </row>
    <row r="33" outlineLevel="3">
      <c r="A33" s="6" t="s">
        <v>93</v>
      </c>
      <c r="B33" s="6" t="s">
        <v>94</v>
      </c>
      <c r="C33" s="6" t="s">
        <v>18</v>
      </c>
      <c r="D33" s="7">
        <v>90</v>
      </c>
      <c r="E33" s="7">
        <v>97</v>
      </c>
      <c r="F33" s="7">
        <v>104</v>
      </c>
      <c r="G33" s="8">
        <v>0</v>
      </c>
      <c r="H33" s="9">
        <f>G33*F33</f>
      </c>
      <c r="I33" s="8">
        <f>IF($H$2&gt;45000, D33*G33, IF($H$2&gt;15000, E33*G33, F33*G33)) </f>
      </c>
      <c r="J33" s="6" t="s">
        <v>18</v>
      </c>
      <c r="K33" t="s">
        <v>95</v>
      </c>
    </row>
    <row r="34" outlineLevel="3">
      <c r="A34" s="6" t="s">
        <v>96</v>
      </c>
      <c r="B34" s="6" t="s">
        <v>97</v>
      </c>
      <c r="C34" s="6" t="s">
        <v>18</v>
      </c>
      <c r="D34" s="7">
        <v>83</v>
      </c>
      <c r="E34" s="7">
        <v>89</v>
      </c>
      <c r="F34" s="7">
        <v>96</v>
      </c>
      <c r="G34" s="8">
        <v>0</v>
      </c>
      <c r="H34" s="9">
        <f>G34*F34</f>
      </c>
      <c r="I34" s="8">
        <f>IF($H$2&gt;45000, D34*G34, IF($H$2&gt;15000, E34*G34, F34*G34)) </f>
      </c>
      <c r="J34" s="6" t="s">
        <v>18</v>
      </c>
      <c r="K34" t="s">
        <v>98</v>
      </c>
    </row>
    <row r="35" outlineLevel="3">
      <c r="A35" s="6" t="s">
        <v>99</v>
      </c>
      <c r="B35" s="6" t="s">
        <v>100</v>
      </c>
      <c r="C35" s="6" t="s">
        <v>18</v>
      </c>
      <c r="D35" s="7">
        <v>83</v>
      </c>
      <c r="E35" s="7">
        <v>89</v>
      </c>
      <c r="F35" s="7">
        <v>96</v>
      </c>
      <c r="G35" s="8">
        <v>0</v>
      </c>
      <c r="H35" s="9">
        <f>G35*F35</f>
      </c>
      <c r="I35" s="8">
        <f>IF($H$2&gt;45000, D35*G35, IF($H$2&gt;15000, E35*G35, F35*G35)) </f>
      </c>
      <c r="J35" s="6" t="s">
        <v>18</v>
      </c>
      <c r="K35" t="s">
        <v>101</v>
      </c>
    </row>
    <row r="36" outlineLevel="3">
      <c r="A36" s="6" t="s">
        <v>102</v>
      </c>
      <c r="B36" s="6" t="s">
        <v>103</v>
      </c>
      <c r="C36" s="6" t="s">
        <v>18</v>
      </c>
      <c r="D36" s="7">
        <v>83</v>
      </c>
      <c r="E36" s="7">
        <v>89</v>
      </c>
      <c r="F36" s="7">
        <v>96</v>
      </c>
      <c r="G36" s="8">
        <v>0</v>
      </c>
      <c r="H36" s="9">
        <f>G36*F36</f>
      </c>
      <c r="I36" s="8">
        <f>IF($H$2&gt;45000, D36*G36, IF($H$2&gt;15000, E36*G36, F36*G36)) </f>
      </c>
      <c r="J36" s="6" t="s">
        <v>18</v>
      </c>
      <c r="K36" t="s">
        <v>104</v>
      </c>
    </row>
    <row r="37" outlineLevel="3">
      <c r="A37" s="6" t="s">
        <v>105</v>
      </c>
      <c r="B37" s="6" t="s">
        <v>106</v>
      </c>
      <c r="C37" s="6" t="s">
        <v>18</v>
      </c>
      <c r="D37" s="7">
        <v>83</v>
      </c>
      <c r="E37" s="7">
        <v>89</v>
      </c>
      <c r="F37" s="7">
        <v>96</v>
      </c>
      <c r="G37" s="8">
        <v>0</v>
      </c>
      <c r="H37" s="9">
        <f>G37*F37</f>
      </c>
      <c r="I37" s="8">
        <f>IF($H$2&gt;45000, D37*G37, IF($H$2&gt;15000, E37*G37, F37*G37)) </f>
      </c>
      <c r="J37" s="6" t="s">
        <v>18</v>
      </c>
      <c r="K37" t="s">
        <v>107</v>
      </c>
    </row>
    <row r="38" outlineLevel="3">
      <c r="A38" s="6" t="s">
        <v>108</v>
      </c>
      <c r="B38" s="6" t="s">
        <v>109</v>
      </c>
      <c r="C38" s="6" t="s">
        <v>18</v>
      </c>
      <c r="D38" s="7">
        <v>90</v>
      </c>
      <c r="E38" s="7">
        <v>97</v>
      </c>
      <c r="F38" s="7">
        <v>104</v>
      </c>
      <c r="G38" s="8">
        <v>0</v>
      </c>
      <c r="H38" s="9">
        <f>G38*F38</f>
      </c>
      <c r="I38" s="8">
        <f>IF($H$2&gt;45000, D38*G38, IF($H$2&gt;15000, E38*G38, F38*G38)) </f>
      </c>
      <c r="J38" s="6" t="s">
        <v>18</v>
      </c>
      <c r="K38" t="s">
        <v>110</v>
      </c>
    </row>
    <row r="39" outlineLevel="3">
      <c r="A39" s="6" t="s">
        <v>111</v>
      </c>
      <c r="B39" s="6" t="s">
        <v>112</v>
      </c>
      <c r="C39" s="6" t="s">
        <v>18</v>
      </c>
      <c r="D39" s="7">
        <v>83</v>
      </c>
      <c r="E39" s="7">
        <v>89</v>
      </c>
      <c r="F39" s="7">
        <v>96</v>
      </c>
      <c r="G39" s="8">
        <v>0</v>
      </c>
      <c r="H39" s="9">
        <f>G39*F39</f>
      </c>
      <c r="I39" s="8">
        <f>IF($H$2&gt;45000, D39*G39, IF($H$2&gt;15000, E39*G39, F39*G39)) </f>
      </c>
      <c r="J39" s="6" t="s">
        <v>18</v>
      </c>
      <c r="K39" t="s">
        <v>113</v>
      </c>
    </row>
    <row r="40" outlineLevel="3">
      <c r="A40" s="6" t="s">
        <v>114</v>
      </c>
      <c r="B40" s="6" t="s">
        <v>115</v>
      </c>
      <c r="C40" s="6" t="s">
        <v>18</v>
      </c>
      <c r="D40" s="7">
        <v>83</v>
      </c>
      <c r="E40" s="7">
        <v>89</v>
      </c>
      <c r="F40" s="7">
        <v>96</v>
      </c>
      <c r="G40" s="8">
        <v>0</v>
      </c>
      <c r="H40" s="9">
        <f>G40*F40</f>
      </c>
      <c r="I40" s="8">
        <f>IF($H$2&gt;45000, D40*G40, IF($H$2&gt;15000, E40*G40, F40*G40)) </f>
      </c>
      <c r="J40" s="6" t="s">
        <v>18</v>
      </c>
      <c r="K40" t="s">
        <v>116</v>
      </c>
    </row>
    <row r="41" outlineLevel="3">
      <c r="A41" s="6" t="s">
        <v>117</v>
      </c>
      <c r="B41" s="6" t="s">
        <v>118</v>
      </c>
      <c r="C41" s="6" t="s">
        <v>18</v>
      </c>
      <c r="D41" s="7">
        <v>83</v>
      </c>
      <c r="E41" s="7">
        <v>89</v>
      </c>
      <c r="F41" s="7">
        <v>96</v>
      </c>
      <c r="G41" s="8">
        <v>0</v>
      </c>
      <c r="H41" s="9">
        <f>G41*F41</f>
      </c>
      <c r="I41" s="8">
        <f>IF($H$2&gt;45000, D41*G41, IF($H$2&gt;15000, E41*G41, F41*G41)) </f>
      </c>
      <c r="J41" s="6" t="s">
        <v>18</v>
      </c>
      <c r="K41" t="s">
        <v>119</v>
      </c>
    </row>
    <row r="42" outlineLevel="3">
      <c r="A42" s="6" t="s">
        <v>120</v>
      </c>
      <c r="B42" s="6" t="s">
        <v>121</v>
      </c>
      <c r="C42" s="6" t="s">
        <v>18</v>
      </c>
      <c r="D42" s="7">
        <v>83</v>
      </c>
      <c r="E42" s="7">
        <v>89</v>
      </c>
      <c r="F42" s="7">
        <v>96</v>
      </c>
      <c r="G42" s="8">
        <v>0</v>
      </c>
      <c r="H42" s="9">
        <f>G42*F42</f>
      </c>
      <c r="I42" s="8">
        <f>IF($H$2&gt;45000, D42*G42, IF($H$2&gt;15000, E42*G42, F42*G42)) </f>
      </c>
      <c r="J42" s="6" t="s">
        <v>18</v>
      </c>
      <c r="K42" t="s">
        <v>122</v>
      </c>
    </row>
    <row r="43" outlineLevel="3">
      <c r="A43" s="6" t="s">
        <v>123</v>
      </c>
      <c r="B43" s="6" t="s">
        <v>124</v>
      </c>
      <c r="C43" s="6" t="s">
        <v>18</v>
      </c>
      <c r="D43" s="7">
        <v>83</v>
      </c>
      <c r="E43" s="7">
        <v>89</v>
      </c>
      <c r="F43" s="7">
        <v>96</v>
      </c>
      <c r="G43" s="8">
        <v>0</v>
      </c>
      <c r="H43" s="9">
        <f>G43*F43</f>
      </c>
      <c r="I43" s="8">
        <f>IF($H$2&gt;45000, D43*G43, IF($H$2&gt;15000, E43*G43, F43*G43)) </f>
      </c>
      <c r="J43" s="6" t="s">
        <v>18</v>
      </c>
      <c r="K43" t="s">
        <v>125</v>
      </c>
    </row>
    <row r="44" outlineLevel="3">
      <c r="A44" s="6" t="s">
        <v>126</v>
      </c>
      <c r="B44" s="6" t="s">
        <v>127</v>
      </c>
      <c r="C44" s="6" t="s">
        <v>18</v>
      </c>
      <c r="D44" s="7">
        <v>83</v>
      </c>
      <c r="E44" s="7">
        <v>89</v>
      </c>
      <c r="F44" s="7">
        <v>96</v>
      </c>
      <c r="G44" s="8">
        <v>0</v>
      </c>
      <c r="H44" s="9">
        <f>G44*F44</f>
      </c>
      <c r="I44" s="8">
        <f>IF($H$2&gt;45000, D44*G44, IF($H$2&gt;15000, E44*G44, F44*G44)) </f>
      </c>
      <c r="J44" s="6" t="s">
        <v>18</v>
      </c>
      <c r="K44" t="s">
        <v>128</v>
      </c>
    </row>
    <row r="45" outlineLevel="3">
      <c r="A45" s="6" t="s">
        <v>129</v>
      </c>
      <c r="B45" s="6" t="s">
        <v>130</v>
      </c>
      <c r="C45" s="6" t="s">
        <v>18</v>
      </c>
      <c r="D45" s="7">
        <v>83</v>
      </c>
      <c r="E45" s="7">
        <v>89</v>
      </c>
      <c r="F45" s="7">
        <v>96</v>
      </c>
      <c r="G45" s="8">
        <v>0</v>
      </c>
      <c r="H45" s="9">
        <f>G45*F45</f>
      </c>
      <c r="I45" s="8">
        <f>IF($H$2&gt;45000, D45*G45, IF($H$2&gt;15000, E45*G45, F45*G45)) </f>
      </c>
      <c r="J45" s="6" t="s">
        <v>18</v>
      </c>
      <c r="K45" t="s">
        <v>131</v>
      </c>
    </row>
    <row r="46" outlineLevel="3">
      <c r="A46" s="6" t="s">
        <v>132</v>
      </c>
      <c r="B46" s="6" t="s">
        <v>133</v>
      </c>
      <c r="C46" s="6" t="s">
        <v>18</v>
      </c>
      <c r="D46" s="7">
        <v>83</v>
      </c>
      <c r="E46" s="7">
        <v>89</v>
      </c>
      <c r="F46" s="7">
        <v>96</v>
      </c>
      <c r="G46" s="8">
        <v>0</v>
      </c>
      <c r="H46" s="9">
        <f>G46*F46</f>
      </c>
      <c r="I46" s="8">
        <f>IF($H$2&gt;45000, D46*G46, IF($H$2&gt;15000, E46*G46, F46*G46)) </f>
      </c>
      <c r="J46" s="6" t="s">
        <v>18</v>
      </c>
      <c r="K46" t="s">
        <v>134</v>
      </c>
    </row>
    <row r="47" outlineLevel="3">
      <c r="A47" s="6" t="s">
        <v>135</v>
      </c>
      <c r="B47" s="6" t="s">
        <v>136</v>
      </c>
      <c r="C47" s="6" t="s">
        <v>18</v>
      </c>
      <c r="D47" s="7">
        <v>115</v>
      </c>
      <c r="E47" s="7">
        <v>124</v>
      </c>
      <c r="F47" s="7">
        <v>134</v>
      </c>
      <c r="G47" s="8">
        <v>0</v>
      </c>
      <c r="H47" s="9">
        <f>G47*F47</f>
      </c>
      <c r="I47" s="8">
        <f>IF($H$2&gt;45000, D47*G47, IF($H$2&gt;15000, E47*G47, F47*G47)) </f>
      </c>
      <c r="J47" s="6" t="s">
        <v>18</v>
      </c>
      <c r="K47" t="s">
        <v>137</v>
      </c>
    </row>
    <row r="48" outlineLevel="3">
      <c r="A48" s="6" t="s">
        <v>138</v>
      </c>
      <c r="B48" s="6" t="s">
        <v>139</v>
      </c>
      <c r="C48" s="6" t="s">
        <v>18</v>
      </c>
      <c r="D48" s="7">
        <v>115</v>
      </c>
      <c r="E48" s="7">
        <v>124</v>
      </c>
      <c r="F48" s="7">
        <v>134</v>
      </c>
      <c r="G48" s="8">
        <v>0</v>
      </c>
      <c r="H48" s="9">
        <f>G48*F48</f>
      </c>
      <c r="I48" s="8">
        <f>IF($H$2&gt;45000, D48*G48, IF($H$2&gt;15000, E48*G48, F48*G48)) </f>
      </c>
      <c r="J48" s="6" t="s">
        <v>18</v>
      </c>
      <c r="K48" t="s">
        <v>140</v>
      </c>
    </row>
    <row r="49" outlineLevel="3">
      <c r="A49" s="6" t="s">
        <v>141</v>
      </c>
      <c r="B49" s="6" t="s">
        <v>142</v>
      </c>
      <c r="C49" s="6" t="s">
        <v>18</v>
      </c>
      <c r="D49" s="7">
        <v>0</v>
      </c>
      <c r="E49" s="7">
        <v>0</v>
      </c>
      <c r="F49" s="7">
        <v>0</v>
      </c>
      <c r="G49" s="8">
        <v>0</v>
      </c>
      <c r="H49" s="9">
        <f>G49*F49</f>
      </c>
      <c r="I49" s="8">
        <f>IF($H$2&gt;45000, D49*G49, IF($H$2&gt;15000, E49*G49, F49*G49)) </f>
      </c>
      <c r="J49" s="6" t="s">
        <v>18</v>
      </c>
      <c r="K49" t="s">
        <v>143</v>
      </c>
    </row>
    <row r="50" outlineLevel="3">
      <c r="A50" s="6" t="s">
        <v>144</v>
      </c>
      <c r="B50" s="6" t="s">
        <v>145</v>
      </c>
      <c r="C50" s="6" t="s">
        <v>18</v>
      </c>
      <c r="D50" s="7">
        <v>0</v>
      </c>
      <c r="E50" s="7">
        <v>0</v>
      </c>
      <c r="F50" s="7">
        <v>0</v>
      </c>
      <c r="G50" s="8">
        <v>0</v>
      </c>
      <c r="H50" s="9">
        <f>G50*F50</f>
      </c>
      <c r="I50" s="8">
        <f>IF($H$2&gt;45000, D50*G50, IF($H$2&gt;15000, E50*G50, F50*G50)) </f>
      </c>
      <c r="J50" s="6" t="s">
        <v>18</v>
      </c>
      <c r="K50" t="s">
        <v>146</v>
      </c>
    </row>
    <row r="51" outlineLevel="3">
      <c r="A51" s="6" t="s">
        <v>147</v>
      </c>
      <c r="B51" s="6" t="s">
        <v>148</v>
      </c>
      <c r="C51" s="6" t="s">
        <v>18</v>
      </c>
      <c r="D51" s="7">
        <v>0</v>
      </c>
      <c r="E51" s="7">
        <v>0</v>
      </c>
      <c r="F51" s="7">
        <v>0</v>
      </c>
      <c r="G51" s="8">
        <v>0</v>
      </c>
      <c r="H51" s="9">
        <f>G51*F51</f>
      </c>
      <c r="I51" s="8">
        <f>IF($H$2&gt;45000, D51*G51, IF($H$2&gt;15000, E51*G51, F51*G51)) </f>
      </c>
      <c r="J51" s="6" t="s">
        <v>18</v>
      </c>
      <c r="K51" t="s">
        <v>149</v>
      </c>
    </row>
    <row r="52" outlineLevel="3">
      <c r="A52" s="6" t="s">
        <v>150</v>
      </c>
      <c r="B52" s="6" t="s">
        <v>151</v>
      </c>
      <c r="C52" s="6" t="s">
        <v>18</v>
      </c>
      <c r="D52" s="7">
        <v>90</v>
      </c>
      <c r="E52" s="7">
        <v>97</v>
      </c>
      <c r="F52" s="7">
        <v>104</v>
      </c>
      <c r="G52" s="8">
        <v>0</v>
      </c>
      <c r="H52" s="9">
        <f>G52*F52</f>
      </c>
      <c r="I52" s="8">
        <f>IF($H$2&gt;45000, D52*G52, IF($H$2&gt;15000, E52*G52, F52*G52)) </f>
      </c>
      <c r="J52" s="6" t="s">
        <v>18</v>
      </c>
      <c r="K52" t="s">
        <v>152</v>
      </c>
    </row>
    <row r="53" outlineLevel="3">
      <c r="A53" s="6" t="s">
        <v>153</v>
      </c>
      <c r="B53" s="6" t="s">
        <v>154</v>
      </c>
      <c r="C53" s="6" t="s">
        <v>18</v>
      </c>
      <c r="D53" s="7">
        <v>83</v>
      </c>
      <c r="E53" s="7">
        <v>89</v>
      </c>
      <c r="F53" s="7">
        <v>96</v>
      </c>
      <c r="G53" s="8">
        <v>0</v>
      </c>
      <c r="H53" s="9">
        <f>G53*F53</f>
      </c>
      <c r="I53" s="8">
        <f>IF($H$2&gt;45000, D53*G53, IF($H$2&gt;15000, E53*G53, F53*G53)) </f>
      </c>
      <c r="J53" s="6" t="s">
        <v>18</v>
      </c>
      <c r="K53" t="s">
        <v>155</v>
      </c>
    </row>
    <row r="54" outlineLevel="3">
      <c r="A54" s="6" t="s">
        <v>156</v>
      </c>
      <c r="B54" s="6" t="s">
        <v>157</v>
      </c>
      <c r="C54" s="6" t="s">
        <v>18</v>
      </c>
      <c r="D54" s="7">
        <v>90</v>
      </c>
      <c r="E54" s="7">
        <v>97</v>
      </c>
      <c r="F54" s="7">
        <v>104</v>
      </c>
      <c r="G54" s="8">
        <v>0</v>
      </c>
      <c r="H54" s="9">
        <f>G54*F54</f>
      </c>
      <c r="I54" s="8">
        <f>IF($H$2&gt;45000, D54*G54, IF($H$2&gt;15000, E54*G54, F54*G54)) </f>
      </c>
      <c r="J54" s="6" t="s">
        <v>18</v>
      </c>
      <c r="K54" t="s">
        <v>158</v>
      </c>
    </row>
    <row r="55" outlineLevel="3">
      <c r="A55" s="6" t="s">
        <v>159</v>
      </c>
      <c r="B55" s="6" t="s">
        <v>160</v>
      </c>
      <c r="C55" s="6" t="s">
        <v>18</v>
      </c>
      <c r="D55" s="7">
        <v>83</v>
      </c>
      <c r="E55" s="7">
        <v>89</v>
      </c>
      <c r="F55" s="7">
        <v>96</v>
      </c>
      <c r="G55" s="8">
        <v>0</v>
      </c>
      <c r="H55" s="9">
        <f>G55*F55</f>
      </c>
      <c r="I55" s="8">
        <f>IF($H$2&gt;45000, D55*G55, IF($H$2&gt;15000, E55*G55, F55*G55)) </f>
      </c>
      <c r="J55" s="6" t="s">
        <v>18</v>
      </c>
      <c r="K55" t="s">
        <v>161</v>
      </c>
    </row>
    <row r="56" outlineLevel="3">
      <c r="A56" s="6" t="s">
        <v>162</v>
      </c>
      <c r="B56" s="6" t="s">
        <v>163</v>
      </c>
      <c r="C56" s="6" t="s">
        <v>18</v>
      </c>
      <c r="D56" s="7">
        <v>83</v>
      </c>
      <c r="E56" s="7">
        <v>89</v>
      </c>
      <c r="F56" s="7">
        <v>96</v>
      </c>
      <c r="G56" s="8">
        <v>0</v>
      </c>
      <c r="H56" s="9">
        <f>G56*F56</f>
      </c>
      <c r="I56" s="8">
        <f>IF($H$2&gt;45000, D56*G56, IF($H$2&gt;15000, E56*G56, F56*G56)) </f>
      </c>
      <c r="J56" s="6" t="s">
        <v>18</v>
      </c>
      <c r="K56" t="s">
        <v>164</v>
      </c>
    </row>
    <row r="57" outlineLevel="3">
      <c r="A57" s="6" t="s">
        <v>165</v>
      </c>
      <c r="B57" s="6" t="s">
        <v>166</v>
      </c>
      <c r="C57" s="6" t="s">
        <v>18</v>
      </c>
      <c r="D57" s="7">
        <v>90</v>
      </c>
      <c r="E57" s="7">
        <v>97</v>
      </c>
      <c r="F57" s="7">
        <v>104</v>
      </c>
      <c r="G57" s="8">
        <v>0</v>
      </c>
      <c r="H57" s="9">
        <f>G57*F57</f>
      </c>
      <c r="I57" s="8">
        <f>IF($H$2&gt;45000, D57*G57, IF($H$2&gt;15000, E57*G57, F57*G57)) </f>
      </c>
      <c r="J57" s="6" t="s">
        <v>18</v>
      </c>
      <c r="K57" t="s">
        <v>167</v>
      </c>
    </row>
    <row r="58" outlineLevel="3">
      <c r="A58" s="6" t="s">
        <v>168</v>
      </c>
      <c r="B58" s="6" t="s">
        <v>169</v>
      </c>
      <c r="C58" s="6" t="s">
        <v>18</v>
      </c>
      <c r="D58" s="7">
        <v>83</v>
      </c>
      <c r="E58" s="7">
        <v>89</v>
      </c>
      <c r="F58" s="7">
        <v>96</v>
      </c>
      <c r="G58" s="8">
        <v>0</v>
      </c>
      <c r="H58" s="9">
        <f>G58*F58</f>
      </c>
      <c r="I58" s="8">
        <f>IF($H$2&gt;45000, D58*G58, IF($H$2&gt;15000, E58*G58, F58*G58)) </f>
      </c>
      <c r="J58" s="6" t="s">
        <v>18</v>
      </c>
      <c r="K58" t="s">
        <v>170</v>
      </c>
    </row>
    <row r="59" outlineLevel="3">
      <c r="A59" s="6" t="s">
        <v>171</v>
      </c>
      <c r="B59" s="6" t="s">
        <v>172</v>
      </c>
      <c r="C59" s="6" t="s">
        <v>18</v>
      </c>
      <c r="D59" s="7">
        <v>83</v>
      </c>
      <c r="E59" s="7">
        <v>89</v>
      </c>
      <c r="F59" s="7">
        <v>96</v>
      </c>
      <c r="G59" s="8">
        <v>0</v>
      </c>
      <c r="H59" s="9">
        <f>G59*F59</f>
      </c>
      <c r="I59" s="8">
        <f>IF($H$2&gt;45000, D59*G59, IF($H$2&gt;15000, E59*G59, F59*G59)) </f>
      </c>
      <c r="J59" s="6" t="s">
        <v>18</v>
      </c>
      <c r="K59" t="s">
        <v>173</v>
      </c>
    </row>
    <row r="60" outlineLevel="3">
      <c r="A60" s="6" t="s">
        <v>174</v>
      </c>
      <c r="B60" s="6" t="s">
        <v>175</v>
      </c>
      <c r="C60" s="6" t="s">
        <v>18</v>
      </c>
      <c r="D60" s="7">
        <v>83</v>
      </c>
      <c r="E60" s="7">
        <v>89</v>
      </c>
      <c r="F60" s="7">
        <v>96</v>
      </c>
      <c r="G60" s="8">
        <v>0</v>
      </c>
      <c r="H60" s="9">
        <f>G60*F60</f>
      </c>
      <c r="I60" s="8">
        <f>IF($H$2&gt;45000, D60*G60, IF($H$2&gt;15000, E60*G60, F60*G60)) </f>
      </c>
      <c r="J60" s="6" t="s">
        <v>18</v>
      </c>
      <c r="K60" t="s">
        <v>176</v>
      </c>
    </row>
    <row r="61" outlineLevel="3">
      <c r="A61" s="6" t="s">
        <v>177</v>
      </c>
      <c r="B61" s="6" t="s">
        <v>178</v>
      </c>
      <c r="C61" s="6" t="s">
        <v>18</v>
      </c>
      <c r="D61" s="7">
        <v>90</v>
      </c>
      <c r="E61" s="7">
        <v>97</v>
      </c>
      <c r="F61" s="7">
        <v>104</v>
      </c>
      <c r="G61" s="8">
        <v>0</v>
      </c>
      <c r="H61" s="9">
        <f>G61*F61</f>
      </c>
      <c r="I61" s="8">
        <f>IF($H$2&gt;45000, D61*G61, IF($H$2&gt;15000, E61*G61, F61*G61)) </f>
      </c>
      <c r="J61" s="6" t="s">
        <v>18</v>
      </c>
      <c r="K61" t="s">
        <v>179</v>
      </c>
    </row>
    <row r="62" outlineLevel="3">
      <c r="A62" s="6" t="s">
        <v>180</v>
      </c>
      <c r="B62" s="6" t="s">
        <v>181</v>
      </c>
      <c r="C62" s="6" t="s">
        <v>18</v>
      </c>
      <c r="D62" s="7">
        <v>83</v>
      </c>
      <c r="E62" s="7">
        <v>89</v>
      </c>
      <c r="F62" s="7">
        <v>96</v>
      </c>
      <c r="G62" s="8">
        <v>0</v>
      </c>
      <c r="H62" s="9">
        <f>G62*F62</f>
      </c>
      <c r="I62" s="8">
        <f>IF($H$2&gt;45000, D62*G62, IF($H$2&gt;15000, E62*G62, F62*G62)) </f>
      </c>
      <c r="J62" s="6" t="s">
        <v>18</v>
      </c>
      <c r="K62" t="s">
        <v>182</v>
      </c>
    </row>
    <row r="63" outlineLevel="3">
      <c r="A63" s="6" t="s">
        <v>183</v>
      </c>
      <c r="B63" s="6" t="s">
        <v>184</v>
      </c>
      <c r="C63" s="6" t="s">
        <v>18</v>
      </c>
      <c r="D63" s="7">
        <v>83</v>
      </c>
      <c r="E63" s="7">
        <v>89</v>
      </c>
      <c r="F63" s="7">
        <v>96</v>
      </c>
      <c r="G63" s="8">
        <v>0</v>
      </c>
      <c r="H63" s="9">
        <f>G63*F63</f>
      </c>
      <c r="I63" s="8">
        <f>IF($H$2&gt;45000, D63*G63, IF($H$2&gt;15000, E63*G63, F63*G63)) </f>
      </c>
      <c r="J63" s="6" t="s">
        <v>18</v>
      </c>
      <c r="K63" t="s">
        <v>185</v>
      </c>
    </row>
    <row r="64" outlineLevel="3">
      <c r="A64" s="6" t="s">
        <v>186</v>
      </c>
      <c r="B64" s="6" t="s">
        <v>187</v>
      </c>
      <c r="C64" s="6" t="s">
        <v>18</v>
      </c>
      <c r="D64" s="7">
        <v>83</v>
      </c>
      <c r="E64" s="7">
        <v>89</v>
      </c>
      <c r="F64" s="7">
        <v>96</v>
      </c>
      <c r="G64" s="8">
        <v>0</v>
      </c>
      <c r="H64" s="9">
        <f>G64*F64</f>
      </c>
      <c r="I64" s="8">
        <f>IF($H$2&gt;45000, D64*G64, IF($H$2&gt;15000, E64*G64, F64*G64)) </f>
      </c>
      <c r="J64" s="6" t="s">
        <v>18</v>
      </c>
      <c r="K64" t="s">
        <v>188</v>
      </c>
    </row>
    <row r="65" outlineLevel="3">
      <c r="A65" s="6" t="s">
        <v>189</v>
      </c>
      <c r="B65" s="6" t="s">
        <v>190</v>
      </c>
      <c r="C65" s="6" t="s">
        <v>18</v>
      </c>
      <c r="D65" s="7">
        <v>83</v>
      </c>
      <c r="E65" s="7">
        <v>89</v>
      </c>
      <c r="F65" s="7">
        <v>96</v>
      </c>
      <c r="G65" s="8">
        <v>0</v>
      </c>
      <c r="H65" s="9">
        <f>G65*F65</f>
      </c>
      <c r="I65" s="8">
        <f>IF($H$2&gt;45000, D65*G65, IF($H$2&gt;15000, E65*G65, F65*G65)) </f>
      </c>
      <c r="J65" s="6" t="s">
        <v>18</v>
      </c>
      <c r="K65" t="s">
        <v>191</v>
      </c>
    </row>
    <row r="66" outlineLevel="3">
      <c r="A66" s="6" t="s">
        <v>192</v>
      </c>
      <c r="B66" s="6" t="s">
        <v>193</v>
      </c>
      <c r="C66" s="6" t="s">
        <v>18</v>
      </c>
      <c r="D66" s="7">
        <v>90</v>
      </c>
      <c r="E66" s="7">
        <v>97</v>
      </c>
      <c r="F66" s="7">
        <v>104</v>
      </c>
      <c r="G66" s="8">
        <v>0</v>
      </c>
      <c r="H66" s="9">
        <f>G66*F66</f>
      </c>
      <c r="I66" s="8">
        <f>IF($H$2&gt;45000, D66*G66, IF($H$2&gt;15000, E66*G66, F66*G66)) </f>
      </c>
      <c r="J66" s="6" t="s">
        <v>18</v>
      </c>
      <c r="K66" t="s">
        <v>194</v>
      </c>
    </row>
    <row r="67" outlineLevel="3">
      <c r="A67" s="6" t="s">
        <v>195</v>
      </c>
      <c r="B67" s="6" t="s">
        <v>196</v>
      </c>
      <c r="C67" s="6" t="s">
        <v>18</v>
      </c>
      <c r="D67" s="7">
        <v>90</v>
      </c>
      <c r="E67" s="7">
        <v>97</v>
      </c>
      <c r="F67" s="7">
        <v>104</v>
      </c>
      <c r="G67" s="8">
        <v>0</v>
      </c>
      <c r="H67" s="9">
        <f>G67*F67</f>
      </c>
      <c r="I67" s="8">
        <f>IF($H$2&gt;45000, D67*G67, IF($H$2&gt;15000, E67*G67, F67*G67)) </f>
      </c>
      <c r="J67" s="6" t="s">
        <v>18</v>
      </c>
      <c r="K67" t="s">
        <v>197</v>
      </c>
    </row>
    <row r="68" outlineLevel="3">
      <c r="A68" s="6" t="s">
        <v>198</v>
      </c>
      <c r="B68" s="6" t="s">
        <v>199</v>
      </c>
      <c r="C68" s="6" t="s">
        <v>18</v>
      </c>
      <c r="D68" s="7">
        <v>90</v>
      </c>
      <c r="E68" s="7">
        <v>97</v>
      </c>
      <c r="F68" s="7">
        <v>104</v>
      </c>
      <c r="G68" s="8">
        <v>0</v>
      </c>
      <c r="H68" s="9">
        <f>G68*F68</f>
      </c>
      <c r="I68" s="8">
        <f>IF($H$2&gt;45000, D68*G68, IF($H$2&gt;15000, E68*G68, F68*G68)) </f>
      </c>
      <c r="J68" s="6" t="s">
        <v>18</v>
      </c>
      <c r="K68" t="s">
        <v>200</v>
      </c>
    </row>
    <row r="69" outlineLevel="3">
      <c r="A69" s="6" t="s">
        <v>201</v>
      </c>
      <c r="B69" s="6" t="s">
        <v>202</v>
      </c>
      <c r="C69" s="6" t="s">
        <v>18</v>
      </c>
      <c r="D69" s="7">
        <v>83</v>
      </c>
      <c r="E69" s="7">
        <v>89</v>
      </c>
      <c r="F69" s="7">
        <v>96</v>
      </c>
      <c r="G69" s="8">
        <v>0</v>
      </c>
      <c r="H69" s="9">
        <f>G69*F69</f>
      </c>
      <c r="I69" s="8">
        <f>IF($H$2&gt;45000, D69*G69, IF($H$2&gt;15000, E69*G69, F69*G69)) </f>
      </c>
      <c r="J69" s="6" t="s">
        <v>18</v>
      </c>
      <c r="K69" t="s">
        <v>203</v>
      </c>
    </row>
    <row r="70" outlineLevel="3">
      <c r="A70" s="6" t="s">
        <v>204</v>
      </c>
      <c r="B70" s="6" t="s">
        <v>205</v>
      </c>
      <c r="C70" s="6" t="s">
        <v>18</v>
      </c>
      <c r="D70" s="7">
        <v>83</v>
      </c>
      <c r="E70" s="7">
        <v>89</v>
      </c>
      <c r="F70" s="7">
        <v>96</v>
      </c>
      <c r="G70" s="8">
        <v>0</v>
      </c>
      <c r="H70" s="9">
        <f>G70*F70</f>
      </c>
      <c r="I70" s="8">
        <f>IF($H$2&gt;45000, D70*G70, IF($H$2&gt;15000, E70*G70, F70*G70)) </f>
      </c>
      <c r="J70" s="6" t="s">
        <v>18</v>
      </c>
      <c r="K70" t="s">
        <v>206</v>
      </c>
    </row>
    <row r="71" outlineLevel="3">
      <c r="A71" s="6" t="s">
        <v>207</v>
      </c>
      <c r="B71" s="6" t="s">
        <v>208</v>
      </c>
      <c r="C71" s="6" t="s">
        <v>18</v>
      </c>
      <c r="D71" s="7">
        <v>83</v>
      </c>
      <c r="E71" s="7">
        <v>89</v>
      </c>
      <c r="F71" s="7">
        <v>96</v>
      </c>
      <c r="G71" s="8">
        <v>0</v>
      </c>
      <c r="H71" s="9">
        <f>G71*F71</f>
      </c>
      <c r="I71" s="8">
        <f>IF($H$2&gt;45000, D71*G71, IF($H$2&gt;15000, E71*G71, F71*G71)) </f>
      </c>
      <c r="J71" s="6" t="s">
        <v>18</v>
      </c>
      <c r="K71" t="s">
        <v>209</v>
      </c>
    </row>
    <row r="72" outlineLevel="3">
      <c r="A72" s="6" t="s">
        <v>210</v>
      </c>
      <c r="B72" s="6" t="s">
        <v>211</v>
      </c>
      <c r="C72" s="6" t="s">
        <v>18</v>
      </c>
      <c r="D72" s="7">
        <v>90</v>
      </c>
      <c r="E72" s="7">
        <v>97</v>
      </c>
      <c r="F72" s="7">
        <v>104</v>
      </c>
      <c r="G72" s="8">
        <v>0</v>
      </c>
      <c r="H72" s="9">
        <f>G72*F72</f>
      </c>
      <c r="I72" s="8">
        <f>IF($H$2&gt;45000, D72*G72, IF($H$2&gt;15000, E72*G72, F72*G72)) </f>
      </c>
      <c r="J72" s="6" t="s">
        <v>18</v>
      </c>
      <c r="K72" t="s">
        <v>212</v>
      </c>
    </row>
    <row r="73" outlineLevel="3">
      <c r="A73" s="6" t="s">
        <v>213</v>
      </c>
      <c r="B73" s="6" t="s">
        <v>214</v>
      </c>
      <c r="C73" s="6" t="s">
        <v>18</v>
      </c>
      <c r="D73" s="7">
        <v>83</v>
      </c>
      <c r="E73" s="7">
        <v>89</v>
      </c>
      <c r="F73" s="7">
        <v>96</v>
      </c>
      <c r="G73" s="8">
        <v>0</v>
      </c>
      <c r="H73" s="9">
        <f>G73*F73</f>
      </c>
      <c r="I73" s="8">
        <f>IF($H$2&gt;45000, D73*G73, IF($H$2&gt;15000, E73*G73, F73*G73)) </f>
      </c>
      <c r="J73" s="6" t="s">
        <v>18</v>
      </c>
      <c r="K73" t="s">
        <v>215</v>
      </c>
    </row>
    <row r="74" outlineLevel="3">
      <c r="A74" s="6" t="s">
        <v>216</v>
      </c>
      <c r="B74" s="6" t="s">
        <v>217</v>
      </c>
      <c r="C74" s="6" t="s">
        <v>18</v>
      </c>
      <c r="D74" s="7">
        <v>83</v>
      </c>
      <c r="E74" s="7">
        <v>89</v>
      </c>
      <c r="F74" s="7">
        <v>96</v>
      </c>
      <c r="G74" s="8">
        <v>0</v>
      </c>
      <c r="H74" s="9">
        <f>G74*F74</f>
      </c>
      <c r="I74" s="8">
        <f>IF($H$2&gt;45000, D74*G74, IF($H$2&gt;15000, E74*G74, F74*G74)) </f>
      </c>
      <c r="J74" s="6" t="s">
        <v>18</v>
      </c>
      <c r="K74" t="s">
        <v>218</v>
      </c>
    </row>
    <row r="75" outlineLevel="3">
      <c r="A75" s="6" t="s">
        <v>219</v>
      </c>
      <c r="B75" s="6" t="s">
        <v>220</v>
      </c>
      <c r="C75" s="6" t="s">
        <v>18</v>
      </c>
      <c r="D75" s="7">
        <v>83</v>
      </c>
      <c r="E75" s="7">
        <v>89</v>
      </c>
      <c r="F75" s="7">
        <v>96</v>
      </c>
      <c r="G75" s="8">
        <v>0</v>
      </c>
      <c r="H75" s="9">
        <f>G75*F75</f>
      </c>
      <c r="I75" s="8">
        <f>IF($H$2&gt;45000, D75*G75, IF($H$2&gt;15000, E75*G75, F75*G75)) </f>
      </c>
      <c r="J75" s="6" t="s">
        <v>18</v>
      </c>
      <c r="K75" t="s">
        <v>221</v>
      </c>
    </row>
    <row r="76" outlineLevel="3">
      <c r="A76" s="6" t="s">
        <v>222</v>
      </c>
      <c r="B76" s="6" t="s">
        <v>223</v>
      </c>
      <c r="C76" s="6" t="s">
        <v>18</v>
      </c>
      <c r="D76" s="7">
        <v>83</v>
      </c>
      <c r="E76" s="7">
        <v>89</v>
      </c>
      <c r="F76" s="7">
        <v>96</v>
      </c>
      <c r="G76" s="8">
        <v>0</v>
      </c>
      <c r="H76" s="9">
        <f>G76*F76</f>
      </c>
      <c r="I76" s="8">
        <f>IF($H$2&gt;45000, D76*G76, IF($H$2&gt;15000, E76*G76, F76*G76)) </f>
      </c>
      <c r="J76" s="6" t="s">
        <v>18</v>
      </c>
      <c r="K76" t="s">
        <v>224</v>
      </c>
    </row>
    <row r="77" outlineLevel="3">
      <c r="A77" s="6" t="s">
        <v>225</v>
      </c>
      <c r="B77" s="6" t="s">
        <v>226</v>
      </c>
      <c r="C77" s="6" t="s">
        <v>18</v>
      </c>
      <c r="D77" s="7">
        <v>90</v>
      </c>
      <c r="E77" s="7">
        <v>97</v>
      </c>
      <c r="F77" s="7">
        <v>104</v>
      </c>
      <c r="G77" s="8">
        <v>0</v>
      </c>
      <c r="H77" s="9">
        <f>G77*F77</f>
      </c>
      <c r="I77" s="8">
        <f>IF($H$2&gt;45000, D77*G77, IF($H$2&gt;15000, E77*G77, F77*G77)) </f>
      </c>
      <c r="J77" s="6" t="s">
        <v>18</v>
      </c>
      <c r="K77" t="s">
        <v>227</v>
      </c>
    </row>
    <row r="78" outlineLevel="3">
      <c r="A78" s="6" t="s">
        <v>228</v>
      </c>
      <c r="B78" s="6" t="s">
        <v>229</v>
      </c>
      <c r="C78" s="6" t="s">
        <v>18</v>
      </c>
      <c r="D78" s="7">
        <v>90</v>
      </c>
      <c r="E78" s="7">
        <v>97</v>
      </c>
      <c r="F78" s="7">
        <v>104</v>
      </c>
      <c r="G78" s="8">
        <v>0</v>
      </c>
      <c r="H78" s="9">
        <f>G78*F78</f>
      </c>
      <c r="I78" s="8">
        <f>IF($H$2&gt;45000, D78*G78, IF($H$2&gt;15000, E78*G78, F78*G78)) </f>
      </c>
      <c r="J78" s="6" t="s">
        <v>18</v>
      </c>
      <c r="K78" t="s">
        <v>230</v>
      </c>
    </row>
    <row r="79" outlineLevel="3">
      <c r="A79" s="6" t="s">
        <v>231</v>
      </c>
      <c r="B79" s="6" t="s">
        <v>232</v>
      </c>
      <c r="C79" s="6" t="s">
        <v>18</v>
      </c>
      <c r="D79" s="7">
        <v>83</v>
      </c>
      <c r="E79" s="7">
        <v>89</v>
      </c>
      <c r="F79" s="7">
        <v>96</v>
      </c>
      <c r="G79" s="8">
        <v>0</v>
      </c>
      <c r="H79" s="9">
        <f>G79*F79</f>
      </c>
      <c r="I79" s="8">
        <f>IF($H$2&gt;45000, D79*G79, IF($H$2&gt;15000, E79*G79, F79*G79)) </f>
      </c>
      <c r="J79" s="6" t="s">
        <v>18</v>
      </c>
      <c r="K79" t="s">
        <v>233</v>
      </c>
    </row>
    <row r="80" outlineLevel="1">
      <c r="A80" s="5" t="s">
        <v>234</v>
      </c>
    </row>
    <row r="81" outlineLevel="2">
      <c r="A81" s="5" t="s">
        <v>235</v>
      </c>
    </row>
    <row r="82" outlineLevel="3">
      <c r="A82" s="6" t="s">
        <v>236</v>
      </c>
      <c r="B82" s="6" t="s">
        <v>237</v>
      </c>
      <c r="C82" s="6" t="s">
        <v>18</v>
      </c>
      <c r="D82" s="7">
        <v>0</v>
      </c>
      <c r="E82" s="7">
        <v>0</v>
      </c>
      <c r="F82" s="7">
        <v>0</v>
      </c>
      <c r="G82" s="8">
        <v>0</v>
      </c>
      <c r="H82" s="9">
        <f>G82*F82</f>
      </c>
      <c r="I82" s="8">
        <f>IF($H$2&gt;45000, D82*G82, IF($H$2&gt;15000, E82*G82, F82*G82)) </f>
      </c>
      <c r="J82" s="6" t="s">
        <v>18</v>
      </c>
      <c r="K82" t="s">
        <v>238</v>
      </c>
    </row>
    <row r="83" outlineLevel="3">
      <c r="A83" s="6" t="s">
        <v>239</v>
      </c>
      <c r="B83" s="6" t="s">
        <v>240</v>
      </c>
      <c r="C83" s="6" t="s">
        <v>18</v>
      </c>
      <c r="D83" s="7">
        <v>0</v>
      </c>
      <c r="E83" s="7">
        <v>0</v>
      </c>
      <c r="F83" s="7">
        <v>0</v>
      </c>
      <c r="G83" s="8">
        <v>0</v>
      </c>
      <c r="H83" s="9">
        <f>G83*F83</f>
      </c>
      <c r="I83" s="8">
        <f>IF($H$2&gt;45000, D83*G83, IF($H$2&gt;15000, E83*G83, F83*G83)) </f>
      </c>
      <c r="J83" s="6" t="s">
        <v>18</v>
      </c>
      <c r="K83" t="s">
        <v>241</v>
      </c>
    </row>
    <row r="84" outlineLevel="3">
      <c r="A84" s="6" t="s">
        <v>242</v>
      </c>
      <c r="B84" s="6" t="s">
        <v>243</v>
      </c>
      <c r="C84" s="6" t="s">
        <v>18</v>
      </c>
      <c r="D84" s="7">
        <v>0</v>
      </c>
      <c r="E84" s="7">
        <v>0</v>
      </c>
      <c r="F84" s="7">
        <v>0</v>
      </c>
      <c r="G84" s="8">
        <v>0</v>
      </c>
      <c r="H84" s="9">
        <f>G84*F84</f>
      </c>
      <c r="I84" s="8">
        <f>IF($H$2&gt;45000, D84*G84, IF($H$2&gt;15000, E84*G84, F84*G84)) </f>
      </c>
      <c r="J84" s="6" t="s">
        <v>18</v>
      </c>
      <c r="K84" t="s">
        <v>244</v>
      </c>
    </row>
    <row r="85" outlineLevel="1">
      <c r="A85" s="5" t="s">
        <v>245</v>
      </c>
    </row>
    <row r="86" outlineLevel="2">
      <c r="A86" s="6" t="s">
        <v>246</v>
      </c>
      <c r="B86" s="6" t="s">
        <v>247</v>
      </c>
      <c r="C86" s="6" t="s">
        <v>18</v>
      </c>
      <c r="D86" s="7">
        <v>73</v>
      </c>
      <c r="E86" s="7">
        <v>79</v>
      </c>
      <c r="F86" s="7">
        <v>87</v>
      </c>
      <c r="G86" s="8">
        <v>0</v>
      </c>
      <c r="H86" s="9">
        <f>G86*F86</f>
      </c>
      <c r="I86" s="8">
        <f>IF($H$2&gt;45000, D86*G86, IF($H$2&gt;15000, E86*G86, F86*G86)) </f>
      </c>
      <c r="J86" s="6" t="s">
        <v>18</v>
      </c>
      <c r="K86" t="s">
        <v>248</v>
      </c>
    </row>
    <row r="87" outlineLevel="2">
      <c r="A87" s="6" t="s">
        <v>249</v>
      </c>
      <c r="B87" s="6" t="s">
        <v>250</v>
      </c>
      <c r="C87" s="6" t="s">
        <v>18</v>
      </c>
      <c r="D87" s="7">
        <v>73</v>
      </c>
      <c r="E87" s="7">
        <v>79</v>
      </c>
      <c r="F87" s="7">
        <v>87</v>
      </c>
      <c r="G87" s="8">
        <v>0</v>
      </c>
      <c r="H87" s="9">
        <f>G87*F87</f>
      </c>
      <c r="I87" s="8">
        <f>IF($H$2&gt;45000, D87*G87, IF($H$2&gt;15000, E87*G87, F87*G87)) </f>
      </c>
      <c r="J87" s="6" t="s">
        <v>18</v>
      </c>
      <c r="K87" t="s">
        <v>251</v>
      </c>
    </row>
    <row r="88" outlineLevel="2">
      <c r="A88" s="6" t="s">
        <v>252</v>
      </c>
      <c r="B88" s="6" t="s">
        <v>253</v>
      </c>
      <c r="C88" s="6" t="s">
        <v>18</v>
      </c>
      <c r="D88" s="7">
        <v>73</v>
      </c>
      <c r="E88" s="7">
        <v>79</v>
      </c>
      <c r="F88" s="7">
        <v>87</v>
      </c>
      <c r="G88" s="8">
        <v>0</v>
      </c>
      <c r="H88" s="9">
        <f>G88*F88</f>
      </c>
      <c r="I88" s="8">
        <f>IF($H$2&gt;45000, D88*G88, IF($H$2&gt;15000, E88*G88, F88*G88)) </f>
      </c>
      <c r="J88" s="6" t="s">
        <v>18</v>
      </c>
      <c r="K88" t="s">
        <v>254</v>
      </c>
    </row>
    <row r="89" outlineLevel="1">
      <c r="A89" s="5" t="s">
        <v>255</v>
      </c>
    </row>
    <row r="90" outlineLevel="2">
      <c r="A90" s="5" t="s">
        <v>256</v>
      </c>
    </row>
    <row r="91" outlineLevel="3">
      <c r="A91" s="6" t="s">
        <v>257</v>
      </c>
      <c r="B91" s="6" t="s">
        <v>258</v>
      </c>
      <c r="C91" s="6" t="s">
        <v>18</v>
      </c>
      <c r="D91" s="7">
        <v>184</v>
      </c>
      <c r="E91" s="7">
        <v>201</v>
      </c>
      <c r="F91" s="7">
        <v>221</v>
      </c>
      <c r="G91" s="8">
        <v>0</v>
      </c>
      <c r="H91" s="9">
        <f>G91*F91</f>
      </c>
      <c r="I91" s="8">
        <f>IF($H$2&gt;45000, D91*G91, IF($H$2&gt;15000, E91*G91, F91*G91)) </f>
      </c>
      <c r="J91" s="6" t="s">
        <v>18</v>
      </c>
      <c r="K91" t="s">
        <v>259</v>
      </c>
    </row>
    <row r="92" outlineLevel="3">
      <c r="A92" s="6" t="s">
        <v>260</v>
      </c>
      <c r="B92" s="6" t="s">
        <v>261</v>
      </c>
      <c r="C92" s="6" t="s">
        <v>18</v>
      </c>
      <c r="D92" s="7">
        <v>215</v>
      </c>
      <c r="E92" s="7">
        <v>234</v>
      </c>
      <c r="F92" s="7">
        <v>258</v>
      </c>
      <c r="G92" s="8">
        <v>0</v>
      </c>
      <c r="H92" s="9">
        <f>G92*F92</f>
      </c>
      <c r="I92" s="8">
        <f>IF($H$2&gt;45000, D92*G92, IF($H$2&gt;15000, E92*G92, F92*G92)) </f>
      </c>
      <c r="J92" s="6" t="s">
        <v>18</v>
      </c>
      <c r="K92" t="s">
        <v>262</v>
      </c>
    </row>
    <row r="93" outlineLevel="3">
      <c r="A93" s="6" t="s">
        <v>263</v>
      </c>
      <c r="B93" s="6" t="s">
        <v>264</v>
      </c>
      <c r="C93" s="6" t="s">
        <v>18</v>
      </c>
      <c r="D93" s="7">
        <v>215</v>
      </c>
      <c r="E93" s="7">
        <v>234</v>
      </c>
      <c r="F93" s="7">
        <v>258</v>
      </c>
      <c r="G93" s="8">
        <v>0</v>
      </c>
      <c r="H93" s="9">
        <f>G93*F93</f>
      </c>
      <c r="I93" s="8">
        <f>IF($H$2&gt;45000, D93*G93, IF($H$2&gt;15000, E93*G93, F93*G93)) </f>
      </c>
      <c r="J93" s="6" t="s">
        <v>18</v>
      </c>
      <c r="K93" t="s">
        <v>265</v>
      </c>
    </row>
    <row r="94" outlineLevel="3">
      <c r="A94" s="6" t="s">
        <v>266</v>
      </c>
      <c r="B94" s="6" t="s">
        <v>267</v>
      </c>
      <c r="C94" s="6" t="s">
        <v>18</v>
      </c>
      <c r="D94" s="7">
        <v>229</v>
      </c>
      <c r="E94" s="7">
        <v>250</v>
      </c>
      <c r="F94" s="7">
        <v>275</v>
      </c>
      <c r="G94" s="8">
        <v>0</v>
      </c>
      <c r="H94" s="9">
        <f>G94*F94</f>
      </c>
      <c r="I94" s="8">
        <f>IF($H$2&gt;45000, D94*G94, IF($H$2&gt;15000, E94*G94, F94*G94)) </f>
      </c>
      <c r="J94" s="6" t="s">
        <v>18</v>
      </c>
      <c r="K94" t="s">
        <v>268</v>
      </c>
    </row>
    <row r="95" outlineLevel="1">
      <c r="A95" s="5" t="s">
        <v>269</v>
      </c>
    </row>
    <row r="96" outlineLevel="2">
      <c r="A96" s="6" t="s">
        <v>270</v>
      </c>
      <c r="B96" s="6" t="s">
        <v>271</v>
      </c>
      <c r="C96" s="6" t="s">
        <v>18</v>
      </c>
      <c r="D96" s="7">
        <v>35</v>
      </c>
      <c r="E96" s="7">
        <v>38</v>
      </c>
      <c r="F96" s="7">
        <v>42</v>
      </c>
      <c r="G96" s="8">
        <v>0</v>
      </c>
      <c r="H96" s="9">
        <f>G96*F96</f>
      </c>
      <c r="I96" s="8">
        <f>IF($H$2&gt;45000, D96*G96, IF($H$2&gt;15000, E96*G96, F96*G96)) </f>
      </c>
      <c r="J96" s="6" t="s">
        <v>18</v>
      </c>
      <c r="K96" t="s">
        <v>272</v>
      </c>
    </row>
    <row r="97" outlineLevel="2">
      <c r="A97" s="6" t="s">
        <v>273</v>
      </c>
      <c r="B97" s="6" t="s">
        <v>274</v>
      </c>
      <c r="C97" s="6" t="s">
        <v>18</v>
      </c>
      <c r="D97" s="7">
        <v>35</v>
      </c>
      <c r="E97" s="7">
        <v>38</v>
      </c>
      <c r="F97" s="7">
        <v>42</v>
      </c>
      <c r="G97" s="8">
        <v>0</v>
      </c>
      <c r="H97" s="9">
        <f>G97*F97</f>
      </c>
      <c r="I97" s="8">
        <f>IF($H$2&gt;45000, D97*G97, IF($H$2&gt;15000, E97*G97, F97*G97)) </f>
      </c>
      <c r="J97" s="6" t="s">
        <v>18</v>
      </c>
      <c r="K97" t="s">
        <v>275</v>
      </c>
    </row>
    <row r="98" outlineLevel="2">
      <c r="A98" s="6" t="s">
        <v>276</v>
      </c>
      <c r="B98" s="6" t="s">
        <v>277</v>
      </c>
      <c r="C98" s="6" t="s">
        <v>18</v>
      </c>
      <c r="D98" s="7">
        <v>35</v>
      </c>
      <c r="E98" s="7">
        <v>38</v>
      </c>
      <c r="F98" s="7">
        <v>42</v>
      </c>
      <c r="G98" s="8">
        <v>0</v>
      </c>
      <c r="H98" s="9">
        <f>G98*F98</f>
      </c>
      <c r="I98" s="8">
        <f>IF($H$2&gt;45000, D98*G98, IF($H$2&gt;15000, E98*G98, F98*G98)) </f>
      </c>
      <c r="J98" s="6" t="s">
        <v>18</v>
      </c>
      <c r="K98" t="s">
        <v>278</v>
      </c>
    </row>
    <row r="99" outlineLevel="2">
      <c r="A99" s="6" t="s">
        <v>279</v>
      </c>
      <c r="B99" s="6" t="s">
        <v>280</v>
      </c>
      <c r="C99" s="6" t="s">
        <v>18</v>
      </c>
      <c r="D99" s="7">
        <v>35</v>
      </c>
      <c r="E99" s="7">
        <v>38</v>
      </c>
      <c r="F99" s="7">
        <v>42</v>
      </c>
      <c r="G99" s="8">
        <v>0</v>
      </c>
      <c r="H99" s="9">
        <f>G99*F99</f>
      </c>
      <c r="I99" s="8">
        <f>IF($H$2&gt;45000, D99*G99, IF($H$2&gt;15000, E99*G99, F99*G99)) </f>
      </c>
      <c r="J99" s="6" t="s">
        <v>18</v>
      </c>
      <c r="K99" t="s">
        <v>281</v>
      </c>
    </row>
    <row r="100" outlineLevel="2">
      <c r="A100" s="6" t="s">
        <v>282</v>
      </c>
      <c r="B100" s="6" t="s">
        <v>283</v>
      </c>
      <c r="C100" s="6" t="s">
        <v>18</v>
      </c>
      <c r="D100" s="7">
        <v>35</v>
      </c>
      <c r="E100" s="7">
        <v>38</v>
      </c>
      <c r="F100" s="7">
        <v>42</v>
      </c>
      <c r="G100" s="8">
        <v>0</v>
      </c>
      <c r="H100" s="9">
        <f>G100*F100</f>
      </c>
      <c r="I100" s="8">
        <f>IF($H$2&gt;45000, D100*G100, IF($H$2&gt;15000, E100*G100, F100*G100)) </f>
      </c>
      <c r="J100" s="6" t="s">
        <v>18</v>
      </c>
      <c r="K100" t="s">
        <v>284</v>
      </c>
    </row>
    <row r="101" outlineLevel="2">
      <c r="A101" s="6" t="s">
        <v>285</v>
      </c>
      <c r="B101" s="6" t="s">
        <v>286</v>
      </c>
      <c r="C101" s="6" t="s">
        <v>18</v>
      </c>
      <c r="D101" s="7">
        <v>35</v>
      </c>
      <c r="E101" s="7">
        <v>38</v>
      </c>
      <c r="F101" s="7">
        <v>42</v>
      </c>
      <c r="G101" s="8">
        <v>0</v>
      </c>
      <c r="H101" s="9">
        <f>G101*F101</f>
      </c>
      <c r="I101" s="8">
        <f>IF($H$2&gt;45000, D101*G101, IF($H$2&gt;15000, E101*G101, F101*G101)) </f>
      </c>
      <c r="J101" s="6" t="s">
        <v>18</v>
      </c>
      <c r="K101" t="s">
        <v>287</v>
      </c>
    </row>
    <row r="102" outlineLevel="2">
      <c r="A102" s="6" t="s">
        <v>288</v>
      </c>
      <c r="B102" s="6" t="s">
        <v>289</v>
      </c>
      <c r="C102" s="6" t="s">
        <v>18</v>
      </c>
      <c r="D102" s="7">
        <v>35</v>
      </c>
      <c r="E102" s="7">
        <v>38</v>
      </c>
      <c r="F102" s="7">
        <v>42</v>
      </c>
      <c r="G102" s="8">
        <v>0</v>
      </c>
      <c r="H102" s="9">
        <f>G102*F102</f>
      </c>
      <c r="I102" s="8">
        <f>IF($H$2&gt;45000, D102*G102, IF($H$2&gt;15000, E102*G102, F102*G102)) </f>
      </c>
      <c r="J102" s="6" t="s">
        <v>18</v>
      </c>
      <c r="K102" t="s">
        <v>290</v>
      </c>
    </row>
    <row r="103" outlineLevel="2">
      <c r="A103" s="6" t="s">
        <v>291</v>
      </c>
      <c r="B103" s="6" t="s">
        <v>292</v>
      </c>
      <c r="C103" s="6" t="s">
        <v>18</v>
      </c>
      <c r="D103" s="7">
        <v>35</v>
      </c>
      <c r="E103" s="7">
        <v>38</v>
      </c>
      <c r="F103" s="7">
        <v>42</v>
      </c>
      <c r="G103" s="8">
        <v>0</v>
      </c>
      <c r="H103" s="9">
        <f>G103*F103</f>
      </c>
      <c r="I103" s="8">
        <f>IF($H$2&gt;45000, D103*G103, IF($H$2&gt;15000, E103*G103, F103*G103)) </f>
      </c>
      <c r="J103" s="6" t="s">
        <v>18</v>
      </c>
      <c r="K103" t="s">
        <v>293</v>
      </c>
    </row>
    <row r="104" outlineLevel="2">
      <c r="A104" s="6" t="s">
        <v>294</v>
      </c>
      <c r="B104" s="6" t="s">
        <v>295</v>
      </c>
      <c r="C104" s="6" t="s">
        <v>18</v>
      </c>
      <c r="D104" s="7">
        <v>35</v>
      </c>
      <c r="E104" s="7">
        <v>38</v>
      </c>
      <c r="F104" s="7">
        <v>42</v>
      </c>
      <c r="G104" s="8">
        <v>0</v>
      </c>
      <c r="H104" s="9">
        <f>G104*F104</f>
      </c>
      <c r="I104" s="8">
        <f>IF($H$2&gt;45000, D104*G104, IF($H$2&gt;15000, E104*G104, F104*G104)) </f>
      </c>
      <c r="J104" s="6" t="s">
        <v>18</v>
      </c>
      <c r="K104" t="s">
        <v>296</v>
      </c>
    </row>
    <row r="105" outlineLevel="2">
      <c r="A105" s="6" t="s">
        <v>297</v>
      </c>
      <c r="B105" s="6" t="s">
        <v>298</v>
      </c>
      <c r="C105" s="6" t="s">
        <v>18</v>
      </c>
      <c r="D105" s="7">
        <v>35</v>
      </c>
      <c r="E105" s="7">
        <v>38</v>
      </c>
      <c r="F105" s="7">
        <v>42</v>
      </c>
      <c r="G105" s="8">
        <v>0</v>
      </c>
      <c r="H105" s="9">
        <f>G105*F105</f>
      </c>
      <c r="I105" s="8">
        <f>IF($H$2&gt;45000, D105*G105, IF($H$2&gt;15000, E105*G105, F105*G105)) </f>
      </c>
      <c r="J105" s="6" t="s">
        <v>18</v>
      </c>
      <c r="K105" t="s">
        <v>299</v>
      </c>
    </row>
    <row r="106" outlineLevel="2">
      <c r="A106" s="6" t="s">
        <v>300</v>
      </c>
      <c r="B106" s="6" t="s">
        <v>301</v>
      </c>
      <c r="C106" s="6" t="s">
        <v>18</v>
      </c>
      <c r="D106" s="7">
        <v>35</v>
      </c>
      <c r="E106" s="7">
        <v>38</v>
      </c>
      <c r="F106" s="7">
        <v>42</v>
      </c>
      <c r="G106" s="8">
        <v>0</v>
      </c>
      <c r="H106" s="9">
        <f>G106*F106</f>
      </c>
      <c r="I106" s="8">
        <f>IF($H$2&gt;45000, D106*G106, IF($H$2&gt;15000, E106*G106, F106*G106)) </f>
      </c>
      <c r="J106" s="6" t="s">
        <v>18</v>
      </c>
      <c r="K106" t="s">
        <v>302</v>
      </c>
    </row>
    <row r="107" outlineLevel="1">
      <c r="A107" s="5" t="s">
        <v>303</v>
      </c>
    </row>
    <row r="108" outlineLevel="2">
      <c r="A108" s="6" t="s">
        <v>304</v>
      </c>
      <c r="B108" s="6" t="s">
        <v>305</v>
      </c>
      <c r="C108" s="6" t="s">
        <v>18</v>
      </c>
      <c r="D108" s="7">
        <v>5.9</v>
      </c>
      <c r="E108" s="7">
        <v>5.9</v>
      </c>
      <c r="F108" s="7">
        <v>5.9</v>
      </c>
      <c r="G108" s="8">
        <v>0</v>
      </c>
      <c r="H108" s="9">
        <f>G108*F108</f>
      </c>
      <c r="I108" s="8">
        <f>IF($H$2&gt;45000, D108*G108, IF($H$2&gt;15000, E108*G108, F108*G108)) </f>
      </c>
      <c r="J108" s="6" t="s">
        <v>18</v>
      </c>
      <c r="K108" t="s">
        <v>306</v>
      </c>
    </row>
    <row r="109" outlineLevel="2">
      <c r="A109" s="6" t="s">
        <v>307</v>
      </c>
      <c r="B109" s="6" t="s">
        <v>308</v>
      </c>
      <c r="C109" s="6" t="s">
        <v>18</v>
      </c>
      <c r="D109" s="7">
        <v>11.9</v>
      </c>
      <c r="E109" s="7">
        <v>11.9</v>
      </c>
      <c r="F109" s="7">
        <v>11.9</v>
      </c>
      <c r="G109" s="8">
        <v>0</v>
      </c>
      <c r="H109" s="9">
        <f>G109*F109</f>
      </c>
      <c r="I109" s="8">
        <f>IF($H$2&gt;45000, D109*G109, IF($H$2&gt;15000, E109*G109, F109*G109)) </f>
      </c>
      <c r="J109" s="6" t="s">
        <v>18</v>
      </c>
      <c r="K109" t="s">
        <v>309</v>
      </c>
    </row>
    <row r="110" outlineLevel="2">
      <c r="A110" s="6" t="s">
        <v>310</v>
      </c>
      <c r="B110" s="6" t="s">
        <v>311</v>
      </c>
      <c r="C110" s="6" t="s">
        <v>18</v>
      </c>
      <c r="D110" s="7">
        <v>11.9</v>
      </c>
      <c r="E110" s="7">
        <v>11.9</v>
      </c>
      <c r="F110" s="7">
        <v>11.9</v>
      </c>
      <c r="G110" s="8">
        <v>0</v>
      </c>
      <c r="H110" s="9">
        <f>G110*F110</f>
      </c>
      <c r="I110" s="8">
        <f>IF($H$2&gt;45000, D110*G110, IF($H$2&gt;15000, E110*G110, F110*G110)) </f>
      </c>
      <c r="J110" s="6" t="s">
        <v>18</v>
      </c>
      <c r="K110" t="s">
        <v>312</v>
      </c>
    </row>
  </sheetData>
  <mergeCells count="11">
    <mergeCell ref="A4:J4"/>
    <mergeCell ref="A5:J5"/>
    <mergeCell ref="A6:J6"/>
    <mergeCell ref="A10:J10"/>
    <mergeCell ref="A80:J80"/>
    <mergeCell ref="A81:J81"/>
    <mergeCell ref="A85:J85"/>
    <mergeCell ref="A89:J89"/>
    <mergeCell ref="A90:J90"/>
    <mergeCell ref="A95:J95"/>
    <mergeCell ref="A107:J107"/>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